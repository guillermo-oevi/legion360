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Dropbox\LEGION360\_OFFICE\"/>
    </mc:Choice>
  </mc:AlternateContent>
  <xr:revisionPtr revIDLastSave="0" documentId="13_ncr:1_{25F7DE9B-463A-4DA6-A597-51B1406EB468}" xr6:coauthVersionLast="47" xr6:coauthVersionMax="47" xr10:uidLastSave="{00000000-0000-0000-0000-000000000000}"/>
  <bookViews>
    <workbookView xWindow="-120" yWindow="-120" windowWidth="20730" windowHeight="11040" firstSheet="2" activeTab="5" xr2:uid="{00000000-000D-0000-FFFF-FFFF00000000}"/>
  </bookViews>
  <sheets>
    <sheet name="FactCompras" sheetId="1" r:id="rId1"/>
    <sheet name="FactVentas" sheetId="2" r:id="rId2"/>
    <sheet name="FactComprasPers" sheetId="3" r:id="rId3"/>
    <sheet name="Resumen_Mensual" sheetId="4" r:id="rId4"/>
    <sheet name="Resumen_Socio" sheetId="10" r:id="rId5"/>
    <sheet name="Resumen_ARCA" sheetId="12" r:id="rId6"/>
    <sheet name="Totales_ARCA" sheetId="13" r:id="rId7"/>
    <sheet name="Ctas_x_Cobrar" sheetId="5" r:id="rId8"/>
    <sheet name="CXC_Aging" sheetId="6" r:id="rId9"/>
    <sheet name="Ctas_x_Pagar" sheetId="7" r:id="rId10"/>
    <sheet name="CXP_Aging" sheetId="8" r:id="rId11"/>
    <sheet name="Parametros" sheetId="9" r:id="rId12"/>
    <sheet name="Socios" sheetId="11" r:id="rId1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4" l="1"/>
  <c r="G2" i="4" s="1"/>
  <c r="A2" i="2"/>
  <c r="A3" i="2"/>
  <c r="A4" i="2"/>
  <c r="A5" i="2"/>
  <c r="A6" i="2"/>
  <c r="A7" i="2"/>
  <c r="A8" i="2"/>
  <c r="A9" i="2"/>
  <c r="A10" i="2"/>
  <c r="A11" i="2"/>
  <c r="A12" i="2"/>
  <c r="A13" i="2"/>
  <c r="A14" i="2"/>
  <c r="A2" i="1"/>
  <c r="A3" i="1"/>
  <c r="D2" i="4" s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J3" i="2"/>
  <c r="J4" i="2"/>
  <c r="J5" i="2"/>
  <c r="J6" i="2"/>
  <c r="J7" i="2"/>
  <c r="J8" i="2"/>
  <c r="I9" i="2"/>
  <c r="I10" i="2"/>
  <c r="I11" i="2"/>
  <c r="I12" i="2"/>
  <c r="I13" i="2"/>
  <c r="J14" i="2"/>
  <c r="J2" i="2"/>
  <c r="I2" i="2"/>
  <c r="I3" i="1"/>
  <c r="J3" i="1"/>
  <c r="J4" i="1"/>
  <c r="J5" i="1"/>
  <c r="I6" i="1"/>
  <c r="J6" i="1"/>
  <c r="I7" i="1"/>
  <c r="J8" i="1"/>
  <c r="J9" i="1"/>
  <c r="J10" i="1"/>
  <c r="I11" i="1"/>
  <c r="J11" i="1"/>
  <c r="I12" i="1"/>
  <c r="J12" i="1"/>
  <c r="I13" i="1"/>
  <c r="J13" i="1"/>
  <c r="I14" i="1"/>
  <c r="I15" i="1"/>
  <c r="I16" i="1"/>
  <c r="J16" i="1"/>
  <c r="J2" i="1"/>
  <c r="I2" i="1"/>
  <c r="H2" i="2"/>
  <c r="H2" i="1"/>
  <c r="P2" i="1"/>
  <c r="E2" i="4" l="1"/>
  <c r="H2" i="4" s="1"/>
  <c r="F2" i="1"/>
  <c r="P3" i="2"/>
  <c r="P4" i="2"/>
  <c r="P5" i="2"/>
  <c r="P6" i="2"/>
  <c r="P7" i="2"/>
  <c r="P8" i="2"/>
  <c r="P9" i="2"/>
  <c r="P10" i="2"/>
  <c r="P11" i="2"/>
  <c r="P12" i="2"/>
  <c r="P13" i="2"/>
  <c r="P14" i="2"/>
  <c r="P2" i="2"/>
  <c r="H3" i="2"/>
  <c r="I3" i="2" s="1"/>
  <c r="C2" i="4" s="1"/>
  <c r="H4" i="2"/>
  <c r="I4" i="2" s="1"/>
  <c r="H5" i="2"/>
  <c r="I5" i="2" s="1"/>
  <c r="H6" i="2"/>
  <c r="I6" i="2" s="1"/>
  <c r="H7" i="2"/>
  <c r="I7" i="2" s="1"/>
  <c r="H8" i="2"/>
  <c r="I8" i="2" s="1"/>
  <c r="H9" i="2"/>
  <c r="J9" i="2" s="1"/>
  <c r="H10" i="2"/>
  <c r="J10" i="2" s="1"/>
  <c r="H11" i="2"/>
  <c r="J11" i="2" s="1"/>
  <c r="H12" i="2"/>
  <c r="J12" i="2" s="1"/>
  <c r="H13" i="2"/>
  <c r="J13" i="2" s="1"/>
  <c r="H14" i="2"/>
  <c r="I14" i="2" s="1"/>
  <c r="P3" i="1"/>
  <c r="P4" i="1"/>
  <c r="P5" i="1"/>
  <c r="P6" i="1"/>
  <c r="P7" i="1"/>
  <c r="P8" i="1"/>
  <c r="P9" i="1"/>
  <c r="P10" i="1"/>
  <c r="P11" i="1"/>
  <c r="P12" i="1"/>
  <c r="P13" i="1"/>
  <c r="P14" i="1"/>
  <c r="P16" i="1"/>
  <c r="P15" i="1"/>
  <c r="H16" i="1"/>
  <c r="H3" i="1"/>
  <c r="H4" i="1"/>
  <c r="I4" i="1" s="1"/>
  <c r="H5" i="1"/>
  <c r="I5" i="1" s="1"/>
  <c r="H6" i="1"/>
  <c r="H7" i="1"/>
  <c r="J7" i="1" s="1"/>
  <c r="H8" i="1"/>
  <c r="I8" i="1" s="1"/>
  <c r="H9" i="1"/>
  <c r="H10" i="1"/>
  <c r="I10" i="1" s="1"/>
  <c r="H11" i="1"/>
  <c r="H12" i="1"/>
  <c r="H13" i="1"/>
  <c r="H14" i="1"/>
  <c r="J14" i="1" s="1"/>
  <c r="H15" i="1"/>
  <c r="J15" i="1" s="1"/>
  <c r="B2" i="4" l="1"/>
  <c r="I2" i="4" s="1"/>
  <c r="K2" i="4" s="1"/>
  <c r="J2" i="4"/>
  <c r="I9" i="1"/>
  <c r="Q12" i="2"/>
  <c r="Q6" i="2"/>
  <c r="Q8" i="2"/>
  <c r="Q7" i="1"/>
  <c r="Q2" i="1"/>
  <c r="Q10" i="1"/>
  <c r="Q8" i="1"/>
  <c r="Q12" i="1"/>
  <c r="Q11" i="1"/>
  <c r="Q6" i="1"/>
  <c r="Q11" i="2"/>
  <c r="Q13" i="2"/>
  <c r="Q10" i="2"/>
  <c r="Q9" i="2"/>
  <c r="Q4" i="2"/>
  <c r="Q3" i="2"/>
  <c r="Q7" i="2"/>
  <c r="Q13" i="1"/>
  <c r="Q14" i="2"/>
  <c r="Q16" i="1"/>
  <c r="Q3" i="1"/>
  <c r="F3" i="2"/>
  <c r="Q5" i="1"/>
  <c r="F11" i="2"/>
  <c r="Q5" i="2"/>
  <c r="F4" i="2"/>
  <c r="F14" i="2"/>
  <c r="F13" i="2"/>
  <c r="F12" i="2"/>
  <c r="F10" i="2"/>
  <c r="F9" i="2"/>
  <c r="F8" i="2"/>
  <c r="F7" i="2"/>
  <c r="F6" i="2"/>
  <c r="Q15" i="1"/>
  <c r="F3" i="1"/>
  <c r="F15" i="1"/>
  <c r="F10" i="1"/>
  <c r="F5" i="1"/>
  <c r="F8" i="1"/>
  <c r="F7" i="1"/>
  <c r="F13" i="1"/>
  <c r="F6" i="1"/>
  <c r="F12" i="1"/>
  <c r="F11" i="1"/>
  <c r="F16" i="1"/>
  <c r="L2" i="4" l="1"/>
  <c r="Q9" i="1"/>
  <c r="F9" i="1"/>
  <c r="Q14" i="1"/>
  <c r="Q2" i="2"/>
  <c r="F5" i="2"/>
  <c r="F14" i="1"/>
  <c r="F2" i="2"/>
  <c r="F4" i="1"/>
  <c r="Q4" i="1"/>
</calcChain>
</file>

<file path=xl/sharedStrings.xml><?xml version="1.0" encoding="utf-8"?>
<sst xmlns="http://schemas.openxmlformats.org/spreadsheetml/2006/main" count="463" uniqueCount="120">
  <si>
    <t>PROVEEDOR</t>
  </si>
  <si>
    <t>DETALLE</t>
  </si>
  <si>
    <t>COSTO_USD_SIN_IVA</t>
  </si>
  <si>
    <t>IVA_TIPO</t>
  </si>
  <si>
    <t>TOTAL_CON_IVA</t>
  </si>
  <si>
    <t>DOLAR</t>
  </si>
  <si>
    <t>PESOS_SIN_IVA</t>
  </si>
  <si>
    <t>IVA_21</t>
  </si>
  <si>
    <t>IVA_105</t>
  </si>
  <si>
    <t>TIPO</t>
  </si>
  <si>
    <t>NRO_FACTURA</t>
  </si>
  <si>
    <t>CUIT</t>
  </si>
  <si>
    <t>FECHA</t>
  </si>
  <si>
    <t>ORIGEN</t>
  </si>
  <si>
    <t>ESTADO</t>
  </si>
  <si>
    <t>IVA_COMPRA</t>
  </si>
  <si>
    <t>SERVIPRINT</t>
  </si>
  <si>
    <t>Reparacion 3 impresoras mas agro</t>
  </si>
  <si>
    <t>N</t>
  </si>
  <si>
    <t>GALICIA</t>
  </si>
  <si>
    <t>Costo extras de verificacion</t>
  </si>
  <si>
    <t>GRUPOTEC</t>
  </si>
  <si>
    <t>Fuente pc sentey</t>
  </si>
  <si>
    <t>A</t>
  </si>
  <si>
    <t>3 Fuente pc sentey, 7 kit teclado + mouse tc309</t>
  </si>
  <si>
    <t>Reraparacion 2 impresoras pias</t>
  </si>
  <si>
    <t>10 Mouse multilaser usb mo300</t>
  </si>
  <si>
    <t>ABEL</t>
  </si>
  <si>
    <t>TONERCORDOBA</t>
  </si>
  <si>
    <t>3 Toner 105x con chip</t>
  </si>
  <si>
    <t>2 toners 226a</t>
  </si>
  <si>
    <t>EIKON</t>
  </si>
  <si>
    <t>Monitor eview 20 pulgadas</t>
  </si>
  <si>
    <t>OEVI</t>
  </si>
  <si>
    <t>Disco duro Seagate 4tb</t>
  </si>
  <si>
    <t>ADEUDADO</t>
  </si>
  <si>
    <t>2 discos 4tb, fuente metalica switching 12v 10a</t>
  </si>
  <si>
    <t>2 hhd 4tb, acces point ubiquiti + poe</t>
  </si>
  <si>
    <t>PCARTS</t>
  </si>
  <si>
    <t>NTB i5 16/480ssd, 2 memorias 16gb patriot y sodim</t>
  </si>
  <si>
    <t>MEMORIA 16 GB ddr4</t>
  </si>
  <si>
    <t>IMPRESORA HP LASER COLOR</t>
  </si>
  <si>
    <t>CLIENTE</t>
  </si>
  <si>
    <t>VENTA_USD_SIN_IVA</t>
  </si>
  <si>
    <t>CUIT_VENTA</t>
  </si>
  <si>
    <t>DESTINO</t>
  </si>
  <si>
    <t>IVA_VENTA</t>
  </si>
  <si>
    <t>MAS AGRO</t>
  </si>
  <si>
    <t xml:space="preserve">Reparacion 3 impresoras </t>
  </si>
  <si>
    <t>PRONOR</t>
  </si>
  <si>
    <t>FUENTE sentey pc</t>
  </si>
  <si>
    <t>PIAS</t>
  </si>
  <si>
    <t>3 fuente pc sentey 7 teclados multilaser usb</t>
  </si>
  <si>
    <t xml:space="preserve">Reparacion hp1505 </t>
  </si>
  <si>
    <t xml:space="preserve">Reparacion hp p1606 </t>
  </si>
  <si>
    <t>10 Mouse usb, 3 toners 105a con chip xxl</t>
  </si>
  <si>
    <t>SANJOSE</t>
  </si>
  <si>
    <t>Monitor led 20, 4 mouse usb,2 toners 226a</t>
  </si>
  <si>
    <t>Estacionamiento Centro</t>
  </si>
  <si>
    <t xml:space="preserve">Educacion Popular Asociacion </t>
  </si>
  <si>
    <t>MASAGRO</t>
  </si>
  <si>
    <t>NTB bgo max i5 16gb ram disco 480gb (resta nota de credito)</t>
  </si>
  <si>
    <t>OMBU</t>
  </si>
  <si>
    <t>SAN JOSE</t>
  </si>
  <si>
    <t>IVA_PERS_TOTAL</t>
  </si>
  <si>
    <t>IVA_PERS_CREDITABLE</t>
  </si>
  <si>
    <t>IVA_PERS_NO_CRED</t>
  </si>
  <si>
    <t>YM</t>
  </si>
  <si>
    <t>Compras_sin_IVA</t>
  </si>
  <si>
    <t>IVA_Compra</t>
  </si>
  <si>
    <t>Ventas_sin_IVA</t>
  </si>
  <si>
    <t>IVA_Venta</t>
  </si>
  <si>
    <t>IVA_Personal_Total</t>
  </si>
  <si>
    <t>IVA_Personal_Creditable</t>
  </si>
  <si>
    <t>Margen_sin_IVA</t>
  </si>
  <si>
    <t>IVA_Compra_Creditable</t>
  </si>
  <si>
    <t>IVA_a_Pagar</t>
  </si>
  <si>
    <t>Pago_a_Socios_9%_c_u</t>
  </si>
  <si>
    <t>Pago_total_a_3_socios</t>
  </si>
  <si>
    <t>2025-07</t>
  </si>
  <si>
    <t>DIAS</t>
  </si>
  <si>
    <t>IMPORTE_SIN_IVA</t>
  </si>
  <si>
    <t>TOTAL_CON_IVA_CALC</t>
  </si>
  <si>
    <t>TRAMO</t>
  </si>
  <si>
    <t>&lt;=30</t>
  </si>
  <si>
    <t>&gt;90</t>
  </si>
  <si>
    <t>31-60</t>
  </si>
  <si>
    <t>61-90</t>
  </si>
  <si>
    <t>Parametro</t>
  </si>
  <si>
    <t>Valor</t>
  </si>
  <si>
    <t>Cobro_de_Socios_(pendiente)</t>
  </si>
  <si>
    <t>nombre_socio</t>
  </si>
  <si>
    <t>Ganancia_neta</t>
  </si>
  <si>
    <t>Abel</t>
  </si>
  <si>
    <t>Guille</t>
  </si>
  <si>
    <t>Cele</t>
  </si>
  <si>
    <t>Margen_Vendedor</t>
  </si>
  <si>
    <t>Margen_Socios</t>
  </si>
  <si>
    <t>tipo_socio</t>
  </si>
  <si>
    <t>Legion</t>
  </si>
  <si>
    <t>Empresa</t>
  </si>
  <si>
    <t>Socio</t>
  </si>
  <si>
    <t>Margen_Otros_Socios</t>
  </si>
  <si>
    <t>Total_Margenes</t>
  </si>
  <si>
    <t>Margen_Empresa</t>
  </si>
  <si>
    <t>margen_Empresa</t>
  </si>
  <si>
    <t>margen_Vendendor</t>
  </si>
  <si>
    <t>margen_Socio</t>
  </si>
  <si>
    <t>tipo_operacion</t>
  </si>
  <si>
    <t>fecha</t>
  </si>
  <si>
    <t>tipo_comprobante</t>
  </si>
  <si>
    <t>estado</t>
  </si>
  <si>
    <t>origen_destino</t>
  </si>
  <si>
    <t>COMPRA</t>
  </si>
  <si>
    <t>PAGADO</t>
  </si>
  <si>
    <t>VENTA</t>
  </si>
  <si>
    <t>Denominación</t>
  </si>
  <si>
    <t>Saldo_Tecnico_IVA</t>
  </si>
  <si>
    <t>PESOS_SIN_IVA2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</si>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</sst>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$&quot;\ #,##0.00;\-&quot;$&quot;\ #,##0.00"/>
    <numFmt numFmtId="44" formatCode="_-&quot;$&quot;\ * #,##0.00_-;\-&quot;$&quot;\ * #,##0.00_-;_-&quot;$&quot;\ * &quot;-&quot;??_-;_-@_-"/>
    <numFmt numFmtId="164" formatCode="yyyy\-mm\-dd\ hh:mm:ss"/>
    <numFmt numFmtId="165" formatCode="aaaa\‑mm"/>
    <numFmt numFmtId="166" formatCode="yyyy\-mm"/>
    <numFmt numFmtId="167" formatCode="&quot;$&quot;\ ###,000"/>
    <numFmt numFmtId="168" formatCode="&quot;$&quot;#,##0.00"/>
  </numFmts>
  <fonts count="7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6E6E6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9">
    <xf numFmtId="0" fontId="0" fillId="0" borderId="0" xfId="0"/>
    <xf numFmtId="164" fontId="0" fillId="0" borderId="0" xfId="0" applyNumberFormat="1"/>
    <xf numFmtId="44" fontId="0" fillId="0" borderId="0" xfId="1" applyFont="1"/>
    <xf numFmtId="14" fontId="0" fillId="0" borderId="0" xfId="0" applyNumberFormat="1"/>
    <xf numFmtId="165" fontId="0" fillId="0" borderId="0" xfId="0" applyNumberFormat="1"/>
    <xf numFmtId="165" fontId="1" fillId="0" borderId="1" xfId="0" applyNumberFormat="1" applyFon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166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  <xf numFmtId="0" fontId="3" fillId="2" borderId="0" xfId="0" applyFont="1" applyFill="1"/>
    <xf numFmtId="14" fontId="0" fillId="0" borderId="0" xfId="0" applyNumberFormat="1" applyAlignment="1">
      <alignment horizontal="center" vertical="center"/>
    </xf>
    <xf numFmtId="167" fontId="0" fillId="0" borderId="0" xfId="1" applyNumberFormat="1" applyFont="1"/>
    <xf numFmtId="167" fontId="0" fillId="0" borderId="0" xfId="0" applyNumberFormat="1"/>
    <xf numFmtId="0" fontId="4" fillId="0" borderId="1" xfId="0" applyFont="1" applyBorder="1" applyAlignment="1">
      <alignment horizontal="center" vertical="top"/>
    </xf>
    <xf numFmtId="7" fontId="0" fillId="0" borderId="0" xfId="0" applyNumberFormat="1"/>
    <xf numFmtId="0" fontId="4" fillId="0" borderId="2" xfId="0" applyFont="1" applyBorder="1" applyAlignment="1">
      <alignment horizontal="center" vertical="top"/>
    </xf>
    <xf numFmtId="168" fontId="0" fillId="0" borderId="0" xfId="0" applyNumberFormat="1"/>
  </cellXfs>
  <cellStyles count="2">
    <cellStyle name="Moneda" xfId="1" builtinId="4"/>
    <cellStyle name="Normal" xfId="0" builtinId="0"/>
  </cellStyles>
  <dxfs count="101">
    <dxf>
      <numFmt numFmtId="168" formatCode="&quot;$&quot;#,##0.00"/>
    </dxf>
    <dxf>
      <numFmt numFmtId="168" formatCode="&quot;$&quot;#,##0.00"/>
    </dxf>
    <dxf>
      <numFmt numFmtId="168" formatCode="&quot;$&quot;#,##0.00"/>
    </dxf>
    <dxf>
      <numFmt numFmtId="168" formatCode="&quot;$&quot;#,##0.00"/>
    </dxf>
    <dxf>
      <numFmt numFmtId="168" formatCode="&quot;$&quot;#,##0.00"/>
    </dxf>
    <dxf>
      <numFmt numFmtId="168" formatCode="&quot;$&quot;#,##0.00"/>
    </dxf>
    <dxf>
      <numFmt numFmtId="11" formatCode="&quot;$&quot;\ #,##0.00;\-&quot;$&quot;\ #,##0.00"/>
    </dxf>
    <dxf>
      <numFmt numFmtId="11" formatCode="&quot;$&quot;\ #,##0.00;\-&quot;$&quot;\ #,##0.00"/>
    </dxf>
    <dxf>
      <numFmt numFmtId="11" formatCode="&quot;$&quot;\ #,##0.00;\-&quot;$&quot;\ #,##0.00"/>
    </dxf>
    <dxf>
      <numFmt numFmtId="11" formatCode="&quot;$&quot;\ #,##0.00;\-&quot;$&quot;\ #,##0.0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\ ###,000"/>
    </dxf>
    <dxf>
      <font>
        <color rgb="FFC00000"/>
      </font>
      <fill>
        <patternFill>
          <bgColor rgb="FFFFE6E6"/>
        </patternFill>
      </fill>
    </dxf>
    <dxf>
      <font>
        <color rgb="FFC00000"/>
      </font>
      <fill>
        <patternFill>
          <bgColor rgb="FFFFE6E6"/>
        </patternFill>
      </fill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yyyy\-mm\-dd\ 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5" formatCode="aaaa\‑mm"/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-&quot;$&quot;\ * #,##0.00_-;\-&quot;$&quot;\ * #,##0.00_-;_-&quot;$&quot;\ * &quot;-&quot;??_-;_-@_-"/>
    </dxf>
    <dxf>
      <numFmt numFmtId="164" formatCode="yyyy\-mm\-dd\ hh:mm:ss"/>
    </dxf>
    <dxf>
      <numFmt numFmtId="167" formatCode="&quot;$&quot;\ ###,000"/>
    </dxf>
    <dxf>
      <numFmt numFmtId="167" formatCode="&quot;$&quot;\ ###,000"/>
    </dxf>
    <dxf>
      <numFmt numFmtId="167" formatCode="&quot;$&quot;\ ###,000"/>
    </dxf>
    <dxf>
      <numFmt numFmtId="167" formatCode="&quot;$&quot;\ ###,000"/>
    </dxf>
    <dxf>
      <numFmt numFmtId="166" formatCode="yyyy\-mm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\ ###,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\ ###,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\ ###,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\ ###,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19050</xdr:rowOff>
        </xdr:from>
        <xdr:to>
          <xdr:col>3</xdr:col>
          <xdr:colOff>276225</xdr:colOff>
          <xdr:row>9</xdr:row>
          <xdr:rowOff>38100</xdr:rowOff>
        </xdr:to>
        <xdr:sp macro="" textlink="">
          <xdr:nvSpPr>
            <xdr:cNvPr id="4102" name="btnActualizarOEVI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Resumen Mensual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F2D372-D842-478F-9303-3BC16BCE2501}" name="FactCompras" displayName="FactCompras" ref="A1:R16" totalsRowShown="0" headerRowDxfId="100" headerRowBorderDxfId="99" tableBorderDxfId="98">
  <autoFilter ref="A1:R16" xr:uid="{EFF2D372-D842-478F-9303-3BC16BCE2501}"/>
  <tableColumns count="18">
    <tableColumn id="1" xr3:uid="{2249B91E-2EA1-4B67-A9B4-CDC892AF3B1D}" name="YM" dataDxfId="97">
      <calculatedColumnFormula>IFERROR(TEXT(FactCompras[[#This Row],[FECHA]],"yyyy-mm"),"SIN_FECHA")</calculatedColumnFormula>
    </tableColumn>
    <tableColumn id="2" xr3:uid="{BB9E7E6C-DCA9-4F16-9C8B-23E0612C59EF}" name="PROVEEDOR"/>
    <tableColumn id="3" xr3:uid="{44D40468-72BB-4A7A-9698-A89B9B0B47B5}" name="DETALLE"/>
    <tableColumn id="4" xr3:uid="{BC9A2799-4612-4FB3-ADF0-50802C055B69}" name="COSTO_USD_SIN_IVA" dataDxfId="96" dataCellStyle="Moneda"/>
    <tableColumn id="5" xr3:uid="{0CF46CFB-AA2F-4202-BB35-B9E156DCB69E}" name="IVA_TIPO"/>
    <tableColumn id="6" xr3:uid="{9BE38FE5-103C-4BF2-916F-C752F870C87D}" name="TOTAL_CON_IVA" dataDxfId="95" dataCellStyle="Moneda">
      <calculatedColumnFormula>H2+I2+J2</calculatedColumnFormula>
    </tableColumn>
    <tableColumn id="7" xr3:uid="{9A10EB15-B8D4-4B30-A33B-81ED20185E7F}" name="DOLAR" dataDxfId="94" dataCellStyle="Moneda"/>
    <tableColumn id="8" xr3:uid="{A830452C-C5BD-4DAC-8F38-D4C3B9B8B1BA}" name="PESOS_SIN_IVA" dataDxfId="93" dataCellStyle="Moneda"/>
    <tableColumn id="9" xr3:uid="{7EA2C181-A63F-4F88-8041-58AE0898D510}" name="IVA_21" dataDxfId="92" dataCellStyle="Moneda"/>
    <tableColumn id="10" xr3:uid="{31D1A790-B934-4F38-BB2E-E91370492260}" name="IVA_105" dataDxfId="91" dataCellStyle="Moneda"/>
    <tableColumn id="11" xr3:uid="{815E948F-10EB-4850-B110-8972B58AF81D}" name="TIPO" dataDxfId="90"/>
    <tableColumn id="12" xr3:uid="{C1B1D65D-3BE6-41C2-9E5E-ED44352DC86F}" name="NRO_FACTURA" dataDxfId="89"/>
    <tableColumn id="13" xr3:uid="{50B2DBB8-2424-42D7-A08F-FB495AA49345}" name="CUIT"/>
    <tableColumn id="14" xr3:uid="{AF45A5B4-F254-4B54-95F0-D4C439107F74}" name="FECHA" dataDxfId="88"/>
    <tableColumn id="15" xr3:uid="{DA87A18A-7EC9-4446-9CD3-4B6D3475CF04}" name="ORIGEN"/>
    <tableColumn id="16" xr3:uid="{7CE7D045-BF89-44CE-BB6A-2318AB9E8256}" name="ESTADO"/>
    <tableColumn id="17" xr3:uid="{590D513E-4588-4DF5-992C-F54EDB7128CC}" name="IVA_COMPRA" dataDxfId="87" dataCellStyle="Moneda"/>
    <tableColumn id="18" xr3:uid="{10D2256F-34E9-42C0-8495-FB6397DAB6B6}" name="nombre_soci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B0D9AA-7865-42CE-A95E-96DB89B8890C}" name="FactVentas" displayName="FactVentas" ref="A1:R14" totalsRowShown="0" headerRowDxfId="86" headerRowBorderDxfId="85" tableBorderDxfId="84">
  <autoFilter ref="A1:R14" xr:uid="{8CB0D9AA-7865-42CE-A95E-96DB89B8890C}"/>
  <tableColumns count="18">
    <tableColumn id="1" xr3:uid="{8EC270DC-3CE0-42B9-B2FD-D796F3D27AF7}" name="YM" dataDxfId="83">
      <calculatedColumnFormula>IFERROR(TEXT(FactVentas[[#This Row],[FECHA]],"yyyy-mm"),"SIN_FECHA")</calculatedColumnFormula>
    </tableColumn>
    <tableColumn id="2" xr3:uid="{7F08DC38-C3A0-47C0-9B7F-6F13C59DFF65}" name="CLIENTE"/>
    <tableColumn id="3" xr3:uid="{F30D39FE-FB6E-48DF-94D0-7E8032F88509}" name="DETALLE"/>
    <tableColumn id="4" xr3:uid="{7DDB8ECF-52E9-4024-9033-6AE0D587BE03}" name="VENTA_USD_SIN_IVA" dataCellStyle="Moneda"/>
    <tableColumn id="5" xr3:uid="{FB31041F-7D18-4968-8A22-BAB945BAB956}" name="IVA_TIPO"/>
    <tableColumn id="6" xr3:uid="{0274A31A-EF41-4D3D-A8E1-00373059DBB0}" name="TOTAL_CON_IVA" dataDxfId="82">
      <calculatedColumnFormula>H2+I2+J2</calculatedColumnFormula>
    </tableColumn>
    <tableColumn id="7" xr3:uid="{348AB742-5767-467C-B978-EA03C2227BBE}" name="DOLAR"/>
    <tableColumn id="8" xr3:uid="{87CE8E20-54D0-4F64-861B-E403AF85F657}" name="PESOS_SIN_IVA" dataDxfId="81">
      <calculatedColumnFormula>D2*G2</calculatedColumnFormula>
    </tableColumn>
    <tableColumn id="9" xr3:uid="{F8F76671-8937-4FD1-822B-1D666DF25F63}" name="IVA_21" dataDxfId="80">
      <calculatedColumnFormula>IF(E2=21,(H2*1.21)-H2,0)</calculatedColumnFormula>
    </tableColumn>
    <tableColumn id="10" xr3:uid="{7EE8070D-0930-4590-8324-330D3635A8AE}" name="IVA_105" dataDxfId="79">
      <calculatedColumnFormula>IF(E2=10.5,(H2*1.105)-H2,0)</calculatedColumnFormula>
    </tableColumn>
    <tableColumn id="18" xr3:uid="{4B2E31A5-AAE3-4F18-B92F-1533F484F485}" name="TIPO" dataDxfId="11" dataCellStyle="Moneda"/>
    <tableColumn id="11" xr3:uid="{A4D4CB49-8DA7-4FFD-9B5B-E96C35428DF8}" name="NRO_FACTURA"/>
    <tableColumn id="12" xr3:uid="{F762554D-E29E-4CE6-8493-3D05A6E10732}" name="CUIT_VENTA"/>
    <tableColumn id="13" xr3:uid="{2CC6E1C0-AB13-43B5-9679-B7D6F5561D5A}" name="FECHA" dataDxfId="78"/>
    <tableColumn id="14" xr3:uid="{559C0C97-FCC6-40A9-96E4-0D01C08CC75E}" name="DESTINO"/>
    <tableColumn id="15" xr3:uid="{2BD12732-D6B7-452C-9612-57C443D257A1}" name="ESTADO">
      <calculatedColumnFormula>IF(C2=FALSE,,IF(O2&lt;&gt;"GALICIA","ADEUDADO","PAGADO"))</calculatedColumnFormula>
    </tableColumn>
    <tableColumn id="16" xr3:uid="{DEEE1A5B-3BE8-4C9E-80D4-12F1F239FA00}" name="IVA_VENTA" dataDxfId="77">
      <calculatedColumnFormula>FactVentas[[#This Row],[IVA_21]]+FactVentas[[#This Row],[IVA_105]]</calculatedColumnFormula>
    </tableColumn>
    <tableColumn id="17" xr3:uid="{BC72FC3A-F34F-4633-8BC1-1F5BC5DD82C0}" name="nombre_socio" dataDxfId="76" dataCellStyle="Moned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A03B599-02E0-4CF8-A244-74F5732E69A9}" name="FactComprasPers" displayName="FactComprasPers" ref="A1:V2" insertRow="1" totalsRowShown="0" headerRowDxfId="75" dataDxfId="73" headerRowBorderDxfId="74" tableBorderDxfId="72">
  <autoFilter ref="A1:V2" xr:uid="{9A03B599-02E0-4CF8-A244-74F5732E69A9}"/>
  <tableColumns count="22">
    <tableColumn id="1" xr3:uid="{87ED2778-2FD2-460D-87A4-5B90D967FAC3}" name="YM" dataDxfId="71"/>
    <tableColumn id="2" xr3:uid="{B98D9D6B-1150-4D2E-92AC-EE8C5B5631D8}" name="PROVEEDOR" dataDxfId="70"/>
    <tableColumn id="3" xr3:uid="{3314B5D1-6946-4AF6-B8B7-D10563126586}" name="DETALLE" dataDxfId="69"/>
    <tableColumn id="4" xr3:uid="{F7A8A399-1731-4F73-9D9D-43714393B7C7}" name="COSTO_USD_SIN_IVA" dataDxfId="68"/>
    <tableColumn id="5" xr3:uid="{A5902DC8-9B19-4A1B-BF51-2E32B4450AF0}" name="IVA_TIPO" dataDxfId="67"/>
    <tableColumn id="6" xr3:uid="{1B8EF85A-5CC1-4A64-92B9-B37BD5AA079D}" name="TOTAL_CON_IVA" dataDxfId="66"/>
    <tableColumn id="7" xr3:uid="{9A66FD58-2553-4279-92D5-AD04CE0DAB29}" name="DOLAR" dataDxfId="65"/>
    <tableColumn id="8" xr3:uid="{3C3EDDD2-C7AB-4804-A2E2-6462A4E8C3C0}" name="PESOS_SIN_IVA" dataDxfId="64"/>
    <tableColumn id="9" xr3:uid="{68E43890-C3A8-43AD-89E1-C59485630778}" name="IVA_21" dataDxfId="63"/>
    <tableColumn id="10" xr3:uid="{46CD716C-2F19-480D-82C1-D9302BAD1E05}" name="IVA_105" dataDxfId="62"/>
    <tableColumn id="11" xr3:uid="{BC8BF941-F3FB-4473-8686-8B089E8A1CE0}" name="TIPO" dataDxfId="61"/>
    <tableColumn id="12" xr3:uid="{9136CD05-6043-40FC-932A-F8DB84F4001A}" name="NRO_FACTURA" dataDxfId="60"/>
    <tableColumn id="13" xr3:uid="{BFB47ECE-FF5B-4B96-AB97-8F39DBA13B97}" name="CUIT" dataDxfId="59"/>
    <tableColumn id="14" xr3:uid="{6C0E9506-F052-4C2B-9B95-3DEE1A7C5249}" name="FECHA" dataDxfId="58"/>
    <tableColumn id="15" xr3:uid="{31067299-1F64-466E-BAEF-99C31F6D3180}" name="ORIGEN" dataDxfId="57"/>
    <tableColumn id="16" xr3:uid="{97A3883A-E4F1-4CBE-B3A7-46E124545B83}" name="ESTADO" dataDxfId="56"/>
    <tableColumn id="17" xr3:uid="{8A9D0334-707E-4D01-A5B3-6EDF01094898}" name="IVA_COMPRA" dataDxfId="55"/>
    <tableColumn id="18" xr3:uid="{4059B449-0C5E-4B1F-B0BE-DF43E97E39A5}" name="nombre_socio" dataDxfId="54"/>
    <tableColumn id="19" xr3:uid="{8464E4A8-77DC-40C2-85FE-5215A0B6541A}" name="IVA_PERS_TOTAL" dataDxfId="53"/>
    <tableColumn id="20" xr3:uid="{808E3252-ABE8-44BC-A4B7-7555C9B2F032}" name="IVA_PERS_CREDITABLE" dataDxfId="52"/>
    <tableColumn id="21" xr3:uid="{CE3CC9E6-ADB0-4F6B-8501-DE5C66D697A2}" name="IVA_PERS_NO_CRED" dataDxfId="51"/>
    <tableColumn id="22" xr3:uid="{D8256C24-7C7C-42B7-9FAA-60544A8C4C94}" name="PESOS_SIN_IVA2" dataDxfId="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975B54C-952F-4B8B-9F75-0F96AE2E6FA9}" name="TablaResumenSocio" displayName="TablaResumenSocio" ref="A1:H5" totalsRowShown="0">
  <autoFilter ref="A1:H5" xr:uid="{2975B54C-952F-4B8B-9F75-0F96AE2E6FA9}"/>
  <tableColumns count="8">
    <tableColumn id="1" xr3:uid="{649B06E2-5CE7-4848-A055-1727350D373C}" name="YM"/>
    <tableColumn id="2" xr3:uid="{DB02FAB1-E0EA-4253-B0C0-A6F72301F429}" name="nombre_socio"/>
    <tableColumn id="3" xr3:uid="{6794B99C-700C-452E-91C8-4CF23381CBCE}" name="Ganancia_neta"/>
    <tableColumn id="4" xr3:uid="{641DF60E-DAA6-404D-8118-E4F3B6937B09}" name="Margen_Empresa"/>
    <tableColumn id="5" xr3:uid="{C5FC9E0D-64CA-4903-BD03-C5F1E17695BA}" name="Margen_Vendedor"/>
    <tableColumn id="6" xr3:uid="{E1AD0AD5-6091-468E-9404-5A17CDB1B81F}" name="Margen_Socios"/>
    <tableColumn id="7" xr3:uid="{A725A990-40A0-4116-A64F-B9DBC783D8B4}" name="Margen_Otros_Socios"/>
    <tableColumn id="8" xr3:uid="{69EE41FA-78FD-4014-AA80-2F1FB4B0975A}" name="Total_Margen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1985F78-4D7E-4FE6-AE77-BEC03132737F}" name="TablaResumenARCA" displayName="TablaResumenARCA" ref="A1:M22" totalsRowShown="0">
  <autoFilter ref="A1:M22" xr:uid="{11985F78-4D7E-4FE6-AE77-BEC03132737F}"/>
  <tableColumns count="13">
    <tableColumn id="1" xr3:uid="{CA4B7455-AB67-4339-BEA6-03DE7A895DEB}" name="tipo_operacion"/>
    <tableColumn id="2" xr3:uid="{B8E3E80E-F31D-4B46-BD88-4653036790B3}" name="fecha" dataDxfId="10"/>
    <tableColumn id="3" xr3:uid="{B1282491-52FA-468B-9D5D-C4A813D32FCF}" name="tipo_comprobante"/>
    <tableColumn id="4" xr3:uid="{2E4953F2-45B6-4994-8ADE-743C1F8E032B}" name="NRO_FACTURA"/>
    <tableColumn id="5" xr3:uid="{73F2B3CE-EED2-45CE-9616-4DB5564AEC17}" name="CUIT"/>
    <tableColumn id="6" xr3:uid="{7F0630A9-003E-4619-B558-62F0A457F19D}" name="Denominación"/>
    <tableColumn id="7" xr3:uid="{F7A067B0-4F34-4A62-BA03-01277FA581D3}" name="PESOS_SIN_IVA" dataDxfId="9"/>
    <tableColumn id="8" xr3:uid="{04D225FE-581C-4376-87DD-5954ABF4274E}" name="IVA_21" dataDxfId="8"/>
    <tableColumn id="9" xr3:uid="{EDFCE603-8B0C-4D37-9A9F-6B831DFAF889}" name="IVA_105" dataDxfId="7"/>
    <tableColumn id="10" xr3:uid="{CD29131C-4781-4C68-8062-04CE555982B4}" name="TOTAL_CON_IVA" dataDxfId="6"/>
    <tableColumn id="11" xr3:uid="{5A0DF8FD-9FC0-4B30-AF4C-014382BE9063}" name="estado"/>
    <tableColumn id="12" xr3:uid="{67B893D0-ECBB-490D-8A2C-552C41E4AB71}" name="origen_destino"/>
    <tableColumn id="13" xr3:uid="{C9088245-B917-4D3A-9B05-4F2B026E25BE}" name="nombre_socio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38008D1-52A0-4AC8-B551-CB7A5BA2E780}" name="TablaTotalesARCA" displayName="TablaTotalesARCA" ref="A1:G3" totalsRowShown="0" headerRowDxfId="0">
  <autoFilter ref="A1:G3" xr:uid="{A38008D1-52A0-4AC8-B551-CB7A5BA2E780}"/>
  <tableColumns count="7">
    <tableColumn id="1" xr3:uid="{4E943134-6418-4B49-B204-8899822FA07F}" name="YM"/>
    <tableColumn id="2" xr3:uid="{844D5F02-B82D-4A53-A5DC-E15591F1DAB6}" name="tipo_operacion"/>
    <tableColumn id="3" xr3:uid="{7AC3EC42-25C5-49DB-8F2B-8C5ACD38C382}" name="PESOS_SIN_IVA" dataDxfId="5"/>
    <tableColumn id="4" xr3:uid="{235C1234-4B31-4723-8093-1FF6068E7BB3}" name="IVA_21" dataDxfId="4"/>
    <tableColumn id="5" xr3:uid="{23372B4E-682B-440D-9B2F-6EE9599C63DD}" name="IVA_105" dataDxfId="3"/>
    <tableColumn id="6" xr3:uid="{46413D16-3189-4C4B-9695-258BD60B8D0D}" name="TOTAL_CON_IVA" dataDxfId="2"/>
    <tableColumn id="7" xr3:uid="{B828E09E-8EF5-4C11-8CCB-668D63E1CB70}" name="Saldo_Tecnico_IVA" dataDxfId="1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F252908-026E-4CAC-BA48-9D2186695EEB}" name="Tabla11" displayName="Tabla11" ref="A1:S3" totalsRowShown="0" headerRowDxfId="49" dataDxfId="47" headerRowBorderDxfId="48" tableBorderDxfId="46" dataCellStyle="Moneda">
  <autoFilter ref="A1:S3" xr:uid="{3F252908-026E-4CAC-BA48-9D2186695EEB}"/>
  <tableColumns count="19">
    <tableColumn id="1" xr3:uid="{1CD3F9DE-21BD-451C-9095-615986DE4007}" name="CLIENTE"/>
    <tableColumn id="2" xr3:uid="{8093DC23-3AFF-423C-8BCC-30349CF7C67F}" name="DETALLE"/>
    <tableColumn id="3" xr3:uid="{3A5DC537-5FF0-4E1B-8229-64DAA0094DAA}" name="VENTA_USD_SIN_IVA" dataDxfId="45" dataCellStyle="Moneda"/>
    <tableColumn id="4" xr3:uid="{2797707B-2568-4440-ACF8-43B6936A651E}" name="IVA_TIPO"/>
    <tableColumn id="5" xr3:uid="{C482ED7F-C995-4271-B572-F86A9F8281EE}" name="TOTAL_CON_IVA" dataDxfId="44" dataCellStyle="Moneda"/>
    <tableColumn id="6" xr3:uid="{E0FA873E-3E63-404B-A4CE-448878457CD0}" name="DOLAR" dataDxfId="43" dataCellStyle="Moneda"/>
    <tableColumn id="7" xr3:uid="{750F38AB-6E90-4374-ABA2-B149C3CDC383}" name="PESOS_SIN_IVA" dataDxfId="42" dataCellStyle="Moneda"/>
    <tableColumn id="8" xr3:uid="{B006C39F-54EC-4C1F-96DC-6C981D1AA6F5}" name="IVA_21" dataDxfId="41" dataCellStyle="Moneda"/>
    <tableColumn id="9" xr3:uid="{4E88197B-45AF-41AD-B3EC-9369AC965974}" name="IVA_105" dataDxfId="40" dataCellStyle="Moneda"/>
    <tableColumn id="10" xr3:uid="{9938E407-6A22-44FC-B8D3-1A905D1980DC}" name="NRO_FACTURA" dataDxfId="39" dataCellStyle="Moneda"/>
    <tableColumn id="11" xr3:uid="{A24B7ABD-63DF-408F-BDB2-342FC5BEAF28}" name="CUIT_VENTA"/>
    <tableColumn id="12" xr3:uid="{83C9C397-4C50-4BA3-A9A1-5E691F36E373}" name="FECHA" dataDxfId="38"/>
    <tableColumn id="13" xr3:uid="{2EE503D5-59B5-4422-90B5-454CA92B54A8}" name="DESTINO"/>
    <tableColumn id="14" xr3:uid="{99FEA0D5-09E3-4CA5-A664-F6955AFC9B1D}" name="ESTADO"/>
    <tableColumn id="15" xr3:uid="{9EE1FF71-5FA8-4CA3-9A2C-7482F2C2F2ED}" name="IVA_VENTA" dataDxfId="37" dataCellStyle="Moneda"/>
    <tableColumn id="16" xr3:uid="{CA9320CE-3917-47C6-83B2-E4B29A610635}" name="DIAS"/>
    <tableColumn id="17" xr3:uid="{05E30CC8-CF58-43FF-906C-475DECCE96F3}" name="IMPORTE_SIN_IVA" dataDxfId="36" dataCellStyle="Moneda"/>
    <tableColumn id="18" xr3:uid="{D9BFEE31-1135-4E7D-A8D3-9793B9F3FD5E}" name="TOTAL_CON_IVA_CALC" dataDxfId="35" dataCellStyle="Moneda"/>
    <tableColumn id="19" xr3:uid="{62C245BF-5431-44FC-8767-EC94400394C6}" name="TRAMO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FCAE120-A986-4009-B0C0-F83515485BDB}" name="Tabla10" displayName="Tabla10" ref="A1:B5" totalsRowShown="0" headerRowDxfId="34" headerRowBorderDxfId="33" tableBorderDxfId="32">
  <autoFilter ref="A1:B5" xr:uid="{BFCAE120-A986-4009-B0C0-F83515485BDB}"/>
  <tableColumns count="2">
    <tableColumn id="1" xr3:uid="{1DDDB1ED-28F0-45A5-8C31-DCC19E2F0020}" name="TRAMO"/>
    <tableColumn id="2" xr3:uid="{81168005-5544-443D-BCB8-3C48135F8D1C}" name="IMPORTE_SIN_IVA" dataDxfId="31" dataCellStyle="Moneda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1F322E0-5A3B-4BBC-A82D-ACE116C25F59}" name="Tabla9" displayName="Tabla9" ref="A1:T4" totalsRowShown="0" headerRowDxfId="30" headerRowBorderDxfId="29" tableBorderDxfId="28">
  <autoFilter ref="A1:T4" xr:uid="{61F322E0-5A3B-4BBC-A82D-ACE116C25F59}"/>
  <tableColumns count="20">
    <tableColumn id="1" xr3:uid="{082DDDC1-9145-41C6-886F-271587CC5F39}" name="PROVEEDOR"/>
    <tableColumn id="2" xr3:uid="{9337B2B4-324B-4195-9330-9EB1123287BD}" name="DETALLE"/>
    <tableColumn id="3" xr3:uid="{91D48791-0583-4CBC-B0AA-0122A59A0FAF}" name="COSTO_USD_SIN_IVA" dataDxfId="27" dataCellStyle="Moneda"/>
    <tableColumn id="4" xr3:uid="{0E6BBF12-729D-4D52-8989-5590A761A292}" name="IVA_TIPO"/>
    <tableColumn id="5" xr3:uid="{211CC814-C80B-41C6-9905-B3810A0E81D5}" name="TOTAL_CON_IVA" dataDxfId="26" dataCellStyle="Moneda"/>
    <tableColumn id="6" xr3:uid="{3BC432C2-411C-4FA9-90B3-585F479F3836}" name="DOLAR"/>
    <tableColumn id="7" xr3:uid="{6E5EA488-EEA6-441D-B677-221954041D0D}" name="PESOS_SIN_IVA" dataDxfId="25" dataCellStyle="Moneda"/>
    <tableColumn id="8" xr3:uid="{6B055692-FAEF-4ADD-B4C2-B41A4473F8D4}" name="IVA_21" dataDxfId="24" dataCellStyle="Moneda"/>
    <tableColumn id="9" xr3:uid="{C0321FD5-DD38-4045-8B1D-2AEB9A529B19}" name="IVA_105" dataDxfId="23" dataCellStyle="Moneda"/>
    <tableColumn id="10" xr3:uid="{FA3D866D-0279-4D0A-9472-4258B239AEE6}" name="TIPO"/>
    <tableColumn id="11" xr3:uid="{9AB9112C-22B5-4ABA-B865-AC1F717F54A1}" name="NRO_FACTURA"/>
    <tableColumn id="12" xr3:uid="{33893BA1-A543-4F39-B816-3A9EAAFF541A}" name="CUIT"/>
    <tableColumn id="13" xr3:uid="{323CD2B8-6C27-43BF-8BD4-15BACB14357C}" name="FECHA" dataDxfId="22"/>
    <tableColumn id="14" xr3:uid="{3061C021-E5CC-4791-B51E-A13D6795C839}" name="ORIGEN"/>
    <tableColumn id="15" xr3:uid="{54683DD0-627A-44D6-87C3-16829DA5DACC}" name="ESTADO"/>
    <tableColumn id="16" xr3:uid="{A6AFB375-980E-482A-BD84-CB262987E2C8}" name="IVA_COMPRA"/>
    <tableColumn id="17" xr3:uid="{4EDBC933-5AB8-4BFA-A51B-CA013BBA7FCD}" name="DIAS"/>
    <tableColumn id="18" xr3:uid="{588603C3-B173-479F-8DAC-7B3F22059046}" name="IMPORTE_SIN_IVA" dataDxfId="21" dataCellStyle="Moneda"/>
    <tableColumn id="19" xr3:uid="{5D9D4C53-3512-41FE-A1DD-0C1DF3468CC0}" name="TOTAL_CON_IVA_CALC" dataDxfId="20" dataCellStyle="Moneda"/>
    <tableColumn id="20" xr3:uid="{FC7D3AB3-0B48-43E6-B451-E45083D775D6}" name="TRAMO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57A2443-3CE6-4628-BA91-E088E4ABA6E2}" name="Tabla8" displayName="Tabla8" ref="A1:B5" totalsRowShown="0" headerRowDxfId="19" headerRowBorderDxfId="18" tableBorderDxfId="17">
  <autoFilter ref="A1:B5" xr:uid="{657A2443-3CE6-4628-BA91-E088E4ABA6E2}"/>
  <tableColumns count="2">
    <tableColumn id="1" xr3:uid="{BCEF31F1-A00F-45BB-BA5A-102A318A43CE}" name="TRAMO"/>
    <tableColumn id="2" xr3:uid="{0A49C2DD-8A5C-4744-8AE8-C46E31DCEAF6}" name="IMPORTE_SIN_IVA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7428456-5109-4B28-B762-414769F40434}" name="Tabla6" displayName="Tabla6" ref="A1:B4" totalsRowShown="0" headerRowDxfId="16" headerRowBorderDxfId="15" tableBorderDxfId="14">
  <autoFilter ref="A1:B4" xr:uid="{27428456-5109-4B28-B762-414769F40434}"/>
  <tableColumns count="2">
    <tableColumn id="1" xr3:uid="{913CD142-6705-405C-BAF0-3FD6CD5D8270}" name="Parametro"/>
    <tableColumn id="2" xr3:uid="{9E13CA89-310A-4195-A1D9-E74FBF72903F}" name="Valor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362FB39-2FAA-45CA-A4D9-562AEAD7539F}" name="Tabla15" displayName="Tabla15" ref="A1:B5" totalsRowShown="0">
  <autoFilter ref="A1:B5" xr:uid="{E362FB39-2FAA-45CA-A4D9-562AEAD7539F}"/>
  <tableColumns count="2">
    <tableColumn id="1" xr3:uid="{798554B1-80F8-4311-A507-A8E246B47C88}" name="nombre_socio"/>
    <tableColumn id="2" xr3:uid="{84A63510-AFA8-4217-AB9C-F057A604A2B9}" name="tipo_socio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R32"/>
  <sheetViews>
    <sheetView topLeftCell="G1" workbookViewId="0">
      <selection sqref="A1:R1"/>
    </sheetView>
  </sheetViews>
  <sheetFormatPr baseColWidth="10" defaultColWidth="9.140625" defaultRowHeight="15" x14ac:dyDescent="0.25"/>
  <cols>
    <col min="1" max="1" width="14.28515625" style="4" customWidth="1"/>
    <col min="2" max="2" width="16.42578125" bestFit="1" customWidth="1"/>
    <col min="3" max="3" width="46.140625" bestFit="1" customWidth="1"/>
    <col min="4" max="4" width="24.5703125" bestFit="1" customWidth="1"/>
    <col min="5" max="5" width="13.85546875" bestFit="1" customWidth="1"/>
    <col min="6" max="6" width="20.28515625" bestFit="1" customWidth="1"/>
    <col min="7" max="7" width="11.5703125" bestFit="1" customWidth="1"/>
    <col min="8" max="8" width="23.28515625" customWidth="1"/>
    <col min="9" max="9" width="16.28515625" customWidth="1"/>
    <col min="10" max="10" width="12.7109375" bestFit="1" customWidth="1"/>
    <col min="11" max="11" width="9.7109375" style="9" bestFit="1" customWidth="1"/>
    <col min="12" max="12" width="18.85546875" style="9" bestFit="1" customWidth="1"/>
    <col min="13" max="13" width="12" bestFit="1" customWidth="1"/>
    <col min="14" max="14" width="11.28515625" bestFit="1" customWidth="1"/>
    <col min="15" max="16" width="12.5703125" bestFit="1" customWidth="1"/>
    <col min="17" max="17" width="22.5703125" customWidth="1"/>
    <col min="18" max="18" width="18.140625" bestFit="1" customWidth="1"/>
  </cols>
  <sheetData>
    <row r="1" spans="1:18" x14ac:dyDescent="0.25">
      <c r="A1" s="5" t="s">
        <v>67</v>
      </c>
      <c r="B1" s="6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  <c r="J1" s="6" t="s">
        <v>8</v>
      </c>
      <c r="K1" s="6" t="s">
        <v>9</v>
      </c>
      <c r="L1" s="15" t="s">
        <v>10</v>
      </c>
      <c r="M1" s="6" t="s">
        <v>11</v>
      </c>
      <c r="N1" s="6" t="s">
        <v>12</v>
      </c>
      <c r="O1" s="6" t="s">
        <v>13</v>
      </c>
      <c r="P1" s="6" t="s">
        <v>14</v>
      </c>
      <c r="Q1" s="6" t="s">
        <v>15</v>
      </c>
      <c r="R1" s="15" t="s">
        <v>91</v>
      </c>
    </row>
    <row r="2" spans="1:18" x14ac:dyDescent="0.25">
      <c r="A2" t="str">
        <f>IFERROR(TEXT(FactCompras[[#This Row],[FECHA]],"yyyy-mm"),"SIN_FECHA")</f>
        <v>2025-07</v>
      </c>
      <c r="B2" t="s">
        <v>16</v>
      </c>
      <c r="C2" t="s">
        <v>17</v>
      </c>
      <c r="D2" s="2">
        <v>68.75</v>
      </c>
      <c r="E2">
        <v>0</v>
      </c>
      <c r="F2" s="13">
        <f>H2+I2+J2</f>
        <v>88000</v>
      </c>
      <c r="G2" s="2">
        <v>1280</v>
      </c>
      <c r="H2" s="13">
        <f>D2*G2</f>
        <v>88000</v>
      </c>
      <c r="I2" s="13">
        <f>IF(E2=21,(H2*1.21)-H2,0)</f>
        <v>0</v>
      </c>
      <c r="J2" s="13">
        <f>IF(E2=10.5,(H2*1.105)-H2,0)</f>
        <v>0</v>
      </c>
      <c r="K2" s="9" t="s">
        <v>18</v>
      </c>
      <c r="N2" s="8">
        <v>45849</v>
      </c>
      <c r="O2" t="s">
        <v>19</v>
      </c>
      <c r="P2" t="str">
        <f t="shared" ref="P2:P14" si="0">IF(D2=FALSE,,IF(O2&lt;&gt;"GALICIA","ADEUDADO","PAGADO"))</f>
        <v>PAGADO</v>
      </c>
      <c r="Q2" s="2">
        <f>FactCompras[[#This Row],[IVA_21]]+FactCompras[[#This Row],[IVA_105]]</f>
        <v>0</v>
      </c>
      <c r="R2" t="s">
        <v>94</v>
      </c>
    </row>
    <row r="3" spans="1:18" x14ac:dyDescent="0.25">
      <c r="A3" t="str">
        <f>IFERROR(TEXT(FactCompras[[#This Row],[FECHA]],"yyyy-mm"),"SIN_FECHA")</f>
        <v>2025-07</v>
      </c>
      <c r="B3" t="s">
        <v>16</v>
      </c>
      <c r="C3" t="s">
        <v>20</v>
      </c>
      <c r="D3" s="2">
        <v>4.6875</v>
      </c>
      <c r="E3">
        <v>0</v>
      </c>
      <c r="F3" s="13">
        <f t="shared" ref="F3:F16" si="1">H3+I3+J3</f>
        <v>6000</v>
      </c>
      <c r="G3" s="2">
        <v>1280</v>
      </c>
      <c r="H3" s="13">
        <f t="shared" ref="H3:H14" si="2">D3*G3</f>
        <v>6000</v>
      </c>
      <c r="I3" s="13">
        <f t="shared" ref="I3:I16" si="3">IF(E3=21,(H3*1.21)-H3,0)</f>
        <v>0</v>
      </c>
      <c r="J3" s="13">
        <f t="shared" ref="J3:J16" si="4">IF(E3=10.5,(H3*1.105)-H3,0)</f>
        <v>0</v>
      </c>
      <c r="K3" s="9" t="s">
        <v>18</v>
      </c>
      <c r="N3" s="8">
        <v>45849</v>
      </c>
      <c r="O3" t="s">
        <v>19</v>
      </c>
      <c r="P3" t="str">
        <f t="shared" si="0"/>
        <v>PAGADO</v>
      </c>
      <c r="Q3" s="2">
        <f>FactCompras[[#This Row],[IVA_21]]+FactCompras[[#This Row],[IVA_105]]</f>
        <v>0</v>
      </c>
      <c r="R3" t="s">
        <v>94</v>
      </c>
    </row>
    <row r="4" spans="1:18" x14ac:dyDescent="0.25">
      <c r="A4" t="str">
        <f>IFERROR(TEXT(FactCompras[[#This Row],[FECHA]],"yyyy-mm"),"SIN_FECHA")</f>
        <v>2025-07</v>
      </c>
      <c r="B4" t="s">
        <v>21</v>
      </c>
      <c r="C4" t="s">
        <v>22</v>
      </c>
      <c r="D4" s="2">
        <v>10.469359375</v>
      </c>
      <c r="E4">
        <v>21</v>
      </c>
      <c r="F4" s="13">
        <f t="shared" si="1"/>
        <v>16214.943799999997</v>
      </c>
      <c r="G4" s="2">
        <v>1280</v>
      </c>
      <c r="H4" s="13">
        <f t="shared" si="2"/>
        <v>13400.779999999999</v>
      </c>
      <c r="I4" s="13">
        <f t="shared" si="3"/>
        <v>2814.1637999999984</v>
      </c>
      <c r="J4" s="13">
        <f t="shared" si="4"/>
        <v>0</v>
      </c>
      <c r="K4" s="9" t="s">
        <v>23</v>
      </c>
      <c r="L4" s="9">
        <v>204</v>
      </c>
      <c r="M4">
        <v>20223711279</v>
      </c>
      <c r="N4" s="8">
        <v>45848</v>
      </c>
      <c r="O4" t="s">
        <v>19</v>
      </c>
      <c r="P4" t="str">
        <f t="shared" si="0"/>
        <v>PAGADO</v>
      </c>
      <c r="Q4" s="2">
        <f>FactCompras[[#This Row],[IVA_21]]+FactCompras[[#This Row],[IVA_105]]</f>
        <v>2814.1637999999984</v>
      </c>
      <c r="R4" t="s">
        <v>94</v>
      </c>
    </row>
    <row r="5" spans="1:18" x14ac:dyDescent="0.25">
      <c r="A5" t="str">
        <f>IFERROR(TEXT(FactCompras[[#This Row],[FECHA]],"yyyy-mm"),"SIN_FECHA")</f>
        <v>2025-07</v>
      </c>
      <c r="B5" t="s">
        <v>21</v>
      </c>
      <c r="C5" t="s">
        <v>24</v>
      </c>
      <c r="D5" s="2">
        <v>57.962757812500001</v>
      </c>
      <c r="E5">
        <v>21</v>
      </c>
      <c r="F5" s="13">
        <f t="shared" si="1"/>
        <v>89772.719299999997</v>
      </c>
      <c r="G5" s="2">
        <v>1280</v>
      </c>
      <c r="H5" s="13">
        <f t="shared" si="2"/>
        <v>74192.33</v>
      </c>
      <c r="I5" s="13">
        <f t="shared" si="3"/>
        <v>15580.389299999995</v>
      </c>
      <c r="J5" s="13">
        <f t="shared" si="4"/>
        <v>0</v>
      </c>
      <c r="K5" s="9" t="s">
        <v>23</v>
      </c>
      <c r="L5" s="9">
        <v>123</v>
      </c>
      <c r="M5">
        <v>20223711279</v>
      </c>
      <c r="N5" s="8">
        <v>45845</v>
      </c>
      <c r="O5" t="s">
        <v>19</v>
      </c>
      <c r="P5" t="str">
        <f t="shared" si="0"/>
        <v>PAGADO</v>
      </c>
      <c r="Q5" s="2">
        <f>FactCompras[[#This Row],[IVA_21]]+FactCompras[[#This Row],[IVA_105]]</f>
        <v>15580.389299999995</v>
      </c>
      <c r="R5" t="s">
        <v>94</v>
      </c>
    </row>
    <row r="6" spans="1:18" x14ac:dyDescent="0.25">
      <c r="A6" t="str">
        <f>IFERROR(TEXT(FactCompras[[#This Row],[FECHA]],"yyyy-mm"),"SIN_FECHA")</f>
        <v>2025-07</v>
      </c>
      <c r="B6" t="s">
        <v>16</v>
      </c>
      <c r="C6" t="s">
        <v>25</v>
      </c>
      <c r="D6" s="2">
        <v>56.796875</v>
      </c>
      <c r="E6">
        <v>0</v>
      </c>
      <c r="F6" s="13">
        <f t="shared" si="1"/>
        <v>72700</v>
      </c>
      <c r="G6" s="2">
        <v>1280</v>
      </c>
      <c r="H6" s="13">
        <f t="shared" si="2"/>
        <v>72700</v>
      </c>
      <c r="I6" s="13">
        <f t="shared" si="3"/>
        <v>0</v>
      </c>
      <c r="J6" s="13">
        <f t="shared" si="4"/>
        <v>0</v>
      </c>
      <c r="K6" s="9" t="s">
        <v>18</v>
      </c>
      <c r="N6" s="8">
        <v>45849</v>
      </c>
      <c r="O6" t="s">
        <v>19</v>
      </c>
      <c r="P6" t="str">
        <f t="shared" si="0"/>
        <v>PAGADO</v>
      </c>
      <c r="Q6" s="2">
        <f>FactCompras[[#This Row],[IVA_21]]+FactCompras[[#This Row],[IVA_105]]</f>
        <v>0</v>
      </c>
      <c r="R6" t="s">
        <v>94</v>
      </c>
    </row>
    <row r="7" spans="1:18" x14ac:dyDescent="0.25">
      <c r="A7" t="str">
        <f>IFERROR(TEXT(FactCompras[[#This Row],[FECHA]],"yyyy-mm"),"SIN_FECHA")</f>
        <v>2025-07</v>
      </c>
      <c r="B7" t="s">
        <v>21</v>
      </c>
      <c r="C7" t="s">
        <v>26</v>
      </c>
      <c r="D7" s="2">
        <v>10.583993212669681</v>
      </c>
      <c r="E7">
        <v>10.5</v>
      </c>
      <c r="F7" s="13">
        <f t="shared" si="1"/>
        <v>14969.999999999996</v>
      </c>
      <c r="G7" s="2">
        <v>1280</v>
      </c>
      <c r="H7" s="13">
        <f t="shared" si="2"/>
        <v>13547.511312217192</v>
      </c>
      <c r="I7" s="13">
        <f t="shared" si="3"/>
        <v>0</v>
      </c>
      <c r="J7" s="13">
        <f t="shared" si="4"/>
        <v>1422.4886877828048</v>
      </c>
      <c r="K7" s="9" t="s">
        <v>23</v>
      </c>
      <c r="L7" s="9">
        <v>14</v>
      </c>
      <c r="M7">
        <v>20223711279</v>
      </c>
      <c r="N7" s="8">
        <v>45848</v>
      </c>
      <c r="O7" t="s">
        <v>27</v>
      </c>
      <c r="P7" t="str">
        <f t="shared" si="0"/>
        <v>ADEUDADO</v>
      </c>
      <c r="Q7" s="2">
        <f>FactCompras[[#This Row],[IVA_21]]+FactCompras[[#This Row],[IVA_105]]</f>
        <v>1422.4886877828048</v>
      </c>
      <c r="R7" t="s">
        <v>94</v>
      </c>
    </row>
    <row r="8" spans="1:18" x14ac:dyDescent="0.25">
      <c r="A8" t="str">
        <f>IFERROR(TEXT(FactCompras[[#This Row],[FECHA]],"yyyy-mm"),"SIN_FECHA")</f>
        <v>2025-07</v>
      </c>
      <c r="B8" t="s">
        <v>28</v>
      </c>
      <c r="C8" t="s">
        <v>29</v>
      </c>
      <c r="D8" s="2">
        <v>31.18543388429752</v>
      </c>
      <c r="E8">
        <v>21</v>
      </c>
      <c r="F8" s="13">
        <f t="shared" si="1"/>
        <v>48300</v>
      </c>
      <c r="G8" s="2">
        <v>1280</v>
      </c>
      <c r="H8" s="13">
        <f t="shared" si="2"/>
        <v>39917.355371900827</v>
      </c>
      <c r="I8" s="13">
        <f t="shared" si="3"/>
        <v>8382.6446280991731</v>
      </c>
      <c r="J8" s="13">
        <f t="shared" si="4"/>
        <v>0</v>
      </c>
      <c r="K8" s="9" t="s">
        <v>23</v>
      </c>
      <c r="L8" s="9">
        <v>7</v>
      </c>
      <c r="M8">
        <v>27306638691</v>
      </c>
      <c r="N8" s="8">
        <v>45845</v>
      </c>
      <c r="O8" t="s">
        <v>27</v>
      </c>
      <c r="P8" t="str">
        <f t="shared" si="0"/>
        <v>ADEUDADO</v>
      </c>
      <c r="Q8" s="2">
        <f>FactCompras[[#This Row],[IVA_21]]+FactCompras[[#This Row],[IVA_105]]</f>
        <v>8382.6446280991731</v>
      </c>
      <c r="R8" t="s">
        <v>94</v>
      </c>
    </row>
    <row r="9" spans="1:18" x14ac:dyDescent="0.25">
      <c r="A9" t="str">
        <f>IFERROR(TEXT(FactCompras[[#This Row],[FECHA]],"yyyy-mm"),"SIN_FECHA")</f>
        <v>2025-07</v>
      </c>
      <c r="B9" t="s">
        <v>28</v>
      </c>
      <c r="C9" t="s">
        <v>30</v>
      </c>
      <c r="D9" s="2">
        <v>13.94628099173554</v>
      </c>
      <c r="E9">
        <v>21</v>
      </c>
      <c r="F9" s="13">
        <f t="shared" si="1"/>
        <v>21600.000000000004</v>
      </c>
      <c r="G9" s="2">
        <v>1280</v>
      </c>
      <c r="H9" s="13">
        <f t="shared" si="2"/>
        <v>17851.239669421491</v>
      </c>
      <c r="I9" s="13">
        <f t="shared" si="3"/>
        <v>3748.7603305785124</v>
      </c>
      <c r="J9" s="13">
        <f t="shared" si="4"/>
        <v>0</v>
      </c>
      <c r="K9" s="9" t="s">
        <v>23</v>
      </c>
      <c r="L9" s="9">
        <v>256</v>
      </c>
      <c r="M9">
        <v>27306638691</v>
      </c>
      <c r="N9" s="8">
        <v>45849</v>
      </c>
      <c r="O9" t="s">
        <v>19</v>
      </c>
      <c r="P9" t="str">
        <f t="shared" si="0"/>
        <v>PAGADO</v>
      </c>
      <c r="Q9" s="2">
        <f>FactCompras[[#This Row],[IVA_21]]+FactCompras[[#This Row],[IVA_105]]</f>
        <v>3748.7603305785124</v>
      </c>
      <c r="R9" t="s">
        <v>94</v>
      </c>
    </row>
    <row r="10" spans="1:18" x14ac:dyDescent="0.25">
      <c r="A10" t="str">
        <f>IFERROR(TEXT(FactCompras[[#This Row],[FECHA]],"yyyy-mm"),"SIN_FECHA")</f>
        <v>2025-07</v>
      </c>
      <c r="B10" t="s">
        <v>31</v>
      </c>
      <c r="C10" t="s">
        <v>32</v>
      </c>
      <c r="D10" s="2">
        <v>48.528125000000003</v>
      </c>
      <c r="E10">
        <v>21</v>
      </c>
      <c r="F10" s="13">
        <f t="shared" si="1"/>
        <v>75160.36</v>
      </c>
      <c r="G10" s="2">
        <v>1280</v>
      </c>
      <c r="H10" s="13">
        <f t="shared" si="2"/>
        <v>62116</v>
      </c>
      <c r="I10" s="13">
        <f t="shared" si="3"/>
        <v>13044.36</v>
      </c>
      <c r="J10" s="13">
        <f t="shared" si="4"/>
        <v>0</v>
      </c>
      <c r="K10" s="9" t="s">
        <v>23</v>
      </c>
      <c r="L10" s="9">
        <v>504</v>
      </c>
      <c r="M10">
        <v>30707262075</v>
      </c>
      <c r="N10" s="8">
        <v>45840</v>
      </c>
      <c r="O10" t="s">
        <v>19</v>
      </c>
      <c r="P10" t="str">
        <f t="shared" si="0"/>
        <v>PAGADO</v>
      </c>
      <c r="Q10" s="2">
        <f>FactCompras[[#This Row],[IVA_21]]+FactCompras[[#This Row],[IVA_105]]</f>
        <v>13044.36</v>
      </c>
      <c r="R10" t="s">
        <v>94</v>
      </c>
    </row>
    <row r="11" spans="1:18" x14ac:dyDescent="0.25">
      <c r="A11" t="str">
        <f>IFERROR(TEXT(FactCompras[[#This Row],[FECHA]],"yyyy-mm"),"SIN_FECHA")</f>
        <v>2025-07</v>
      </c>
      <c r="B11" t="s">
        <v>33</v>
      </c>
      <c r="C11" t="s">
        <v>34</v>
      </c>
      <c r="D11" s="2">
        <v>95</v>
      </c>
      <c r="E11">
        <v>0</v>
      </c>
      <c r="F11" s="13">
        <f t="shared" si="1"/>
        <v>121600</v>
      </c>
      <c r="G11" s="2">
        <v>1280</v>
      </c>
      <c r="H11" s="13">
        <f t="shared" si="2"/>
        <v>121600</v>
      </c>
      <c r="I11" s="13">
        <f t="shared" si="3"/>
        <v>0</v>
      </c>
      <c r="J11" s="13">
        <f t="shared" si="4"/>
        <v>0</v>
      </c>
      <c r="K11" s="9" t="s">
        <v>18</v>
      </c>
      <c r="N11" s="8">
        <v>45840</v>
      </c>
      <c r="O11" t="s">
        <v>33</v>
      </c>
      <c r="P11" t="str">
        <f t="shared" si="0"/>
        <v>ADEUDADO</v>
      </c>
      <c r="Q11" s="2">
        <f>FactCompras[[#This Row],[IVA_21]]+FactCompras[[#This Row],[IVA_105]]</f>
        <v>0</v>
      </c>
      <c r="R11" t="s">
        <v>94</v>
      </c>
    </row>
    <row r="12" spans="1:18" x14ac:dyDescent="0.25">
      <c r="A12" t="str">
        <f>IFERROR(TEXT(FactCompras[[#This Row],[FECHA]],"yyyy-mm"),"SIN_FECHA")</f>
        <v>2025-07</v>
      </c>
      <c r="B12" t="s">
        <v>33</v>
      </c>
      <c r="C12" t="s">
        <v>36</v>
      </c>
      <c r="D12" s="2">
        <v>240</v>
      </c>
      <c r="E12">
        <v>0</v>
      </c>
      <c r="F12" s="13">
        <f t="shared" si="1"/>
        <v>307200</v>
      </c>
      <c r="G12" s="2">
        <v>1280</v>
      </c>
      <c r="H12" s="13">
        <f t="shared" si="2"/>
        <v>307200</v>
      </c>
      <c r="I12" s="13">
        <f t="shared" si="3"/>
        <v>0</v>
      </c>
      <c r="J12" s="13">
        <f t="shared" si="4"/>
        <v>0</v>
      </c>
      <c r="K12" s="9" t="s">
        <v>18</v>
      </c>
      <c r="N12" s="8">
        <v>45868</v>
      </c>
      <c r="O12" t="s">
        <v>33</v>
      </c>
      <c r="P12" t="str">
        <f t="shared" si="0"/>
        <v>ADEUDADO</v>
      </c>
      <c r="Q12" s="2">
        <f>FactCompras[[#This Row],[IVA_21]]+FactCompras[[#This Row],[IVA_105]]</f>
        <v>0</v>
      </c>
      <c r="R12" t="s">
        <v>94</v>
      </c>
    </row>
    <row r="13" spans="1:18" x14ac:dyDescent="0.25">
      <c r="A13" t="str">
        <f>IFERROR(TEXT(FactCompras[[#This Row],[FECHA]],"yyyy-mm"),"SIN_FECHA")</f>
        <v>2025-07</v>
      </c>
      <c r="B13" t="s">
        <v>33</v>
      </c>
      <c r="C13" t="s">
        <v>37</v>
      </c>
      <c r="D13" s="2">
        <v>370</v>
      </c>
      <c r="E13">
        <v>0</v>
      </c>
      <c r="F13" s="13">
        <f t="shared" si="1"/>
        <v>473600</v>
      </c>
      <c r="G13" s="2">
        <v>1280</v>
      </c>
      <c r="H13" s="13">
        <f t="shared" si="2"/>
        <v>473600</v>
      </c>
      <c r="I13" s="13">
        <f t="shared" si="3"/>
        <v>0</v>
      </c>
      <c r="J13" s="13">
        <f t="shared" si="4"/>
        <v>0</v>
      </c>
      <c r="K13" s="9" t="s">
        <v>18</v>
      </c>
      <c r="N13" s="8">
        <v>45868</v>
      </c>
      <c r="O13" t="s">
        <v>33</v>
      </c>
      <c r="P13" t="str">
        <f t="shared" si="0"/>
        <v>ADEUDADO</v>
      </c>
      <c r="Q13" s="2">
        <f>FactCompras[[#This Row],[IVA_21]]+FactCompras[[#This Row],[IVA_105]]</f>
        <v>0</v>
      </c>
      <c r="R13" t="s">
        <v>94</v>
      </c>
    </row>
    <row r="14" spans="1:18" x14ac:dyDescent="0.25">
      <c r="A14" t="str">
        <f>IFERROR(TEXT(FactCompras[[#This Row],[FECHA]],"yyyy-mm"),"SIN_FECHA")</f>
        <v>2025-07</v>
      </c>
      <c r="B14" t="s">
        <v>38</v>
      </c>
      <c r="C14" t="s">
        <v>39</v>
      </c>
      <c r="D14" s="2">
        <v>539.6518518518518</v>
      </c>
      <c r="E14">
        <v>10.5</v>
      </c>
      <c r="F14" s="13">
        <f t="shared" si="1"/>
        <v>805025.64999999991</v>
      </c>
      <c r="G14" s="2">
        <v>1350</v>
      </c>
      <c r="H14" s="13">
        <f t="shared" si="2"/>
        <v>728529.99999999988</v>
      </c>
      <c r="I14" s="13">
        <f t="shared" si="3"/>
        <v>0</v>
      </c>
      <c r="J14" s="13">
        <f t="shared" si="4"/>
        <v>76495.650000000023</v>
      </c>
      <c r="K14" s="9" t="s">
        <v>23</v>
      </c>
      <c r="L14" s="9">
        <v>585</v>
      </c>
      <c r="M14">
        <v>30708602309</v>
      </c>
      <c r="N14" s="8">
        <v>45868</v>
      </c>
      <c r="O14" t="s">
        <v>19</v>
      </c>
      <c r="P14" t="str">
        <f t="shared" si="0"/>
        <v>PAGADO</v>
      </c>
      <c r="Q14" s="2">
        <f>FactCompras[[#This Row],[IVA_21]]+FactCompras[[#This Row],[IVA_105]]</f>
        <v>76495.650000000023</v>
      </c>
      <c r="R14" t="s">
        <v>93</v>
      </c>
    </row>
    <row r="15" spans="1:18" x14ac:dyDescent="0.25">
      <c r="A15" t="str">
        <f>IFERROR(TEXT(FactCompras[[#This Row],[FECHA]],"yyyy-mm"),"SIN_FECHA")</f>
        <v>2025-07</v>
      </c>
      <c r="B15" t="s">
        <v>21</v>
      </c>
      <c r="C15" t="s">
        <v>40</v>
      </c>
      <c r="D15" s="2">
        <v>29.330598290598289</v>
      </c>
      <c r="E15">
        <v>10.5</v>
      </c>
      <c r="F15" s="13">
        <f t="shared" si="1"/>
        <v>43753.919999999991</v>
      </c>
      <c r="G15" s="2">
        <v>1350</v>
      </c>
      <c r="H15" s="13">
        <f>D15*G15</f>
        <v>39596.307692307688</v>
      </c>
      <c r="I15" s="13">
        <f t="shared" si="3"/>
        <v>0</v>
      </c>
      <c r="J15" s="13">
        <f t="shared" si="4"/>
        <v>4157.6123076923031</v>
      </c>
      <c r="K15" s="9" t="s">
        <v>23</v>
      </c>
      <c r="L15" s="9">
        <v>687</v>
      </c>
      <c r="M15">
        <v>20223711279</v>
      </c>
      <c r="N15" s="8">
        <v>45868</v>
      </c>
      <c r="O15" t="s">
        <v>19</v>
      </c>
      <c r="P15" t="str">
        <f>IF(D15=FALSE,,IF(O15&lt;&gt;"GALICIA","ADEUDADO","PAGADO"))</f>
        <v>PAGADO</v>
      </c>
      <c r="Q15" s="2">
        <f>FactCompras[[#This Row],[IVA_21]]+FactCompras[[#This Row],[IVA_105]]</f>
        <v>4157.6123076923031</v>
      </c>
      <c r="R15" t="s">
        <v>93</v>
      </c>
    </row>
    <row r="16" spans="1:18" x14ac:dyDescent="0.25">
      <c r="A16" t="str">
        <f>IFERROR(TEXT(FactCompras[[#This Row],[FECHA]],"yyyy-mm"),"SIN_FECHA")</f>
        <v>2025-07</v>
      </c>
      <c r="B16" t="s">
        <v>16</v>
      </c>
      <c r="C16" t="s">
        <v>41</v>
      </c>
      <c r="D16" s="2">
        <v>43.777777777777779</v>
      </c>
      <c r="E16">
        <v>0</v>
      </c>
      <c r="F16" s="13">
        <f t="shared" si="1"/>
        <v>59100</v>
      </c>
      <c r="G16" s="2">
        <v>1350</v>
      </c>
      <c r="H16" s="13">
        <f>D16*G16</f>
        <v>59100</v>
      </c>
      <c r="I16" s="13">
        <f t="shared" si="3"/>
        <v>0</v>
      </c>
      <c r="J16" s="13">
        <f t="shared" si="4"/>
        <v>0</v>
      </c>
      <c r="K16" s="9" t="s">
        <v>18</v>
      </c>
      <c r="N16" s="8">
        <v>45868</v>
      </c>
      <c r="O16" t="s">
        <v>19</v>
      </c>
      <c r="P16" t="str">
        <f>IF(D16=FALSE,,IF(O16&lt;&gt;"GALICIA","ADEUDADO","PAGADO"))</f>
        <v>PAGADO</v>
      </c>
      <c r="Q16" s="2">
        <f>FactCompras[[#This Row],[IVA_21]]+FactCompras[[#This Row],[IVA_105]]</f>
        <v>0</v>
      </c>
      <c r="R16" t="s">
        <v>93</v>
      </c>
    </row>
    <row r="17" spans="1:17" x14ac:dyDescent="0.25">
      <c r="A17" s="10"/>
      <c r="D17" s="2"/>
      <c r="F17" s="2"/>
      <c r="G17" s="2"/>
      <c r="H17" s="2"/>
      <c r="I17" s="2"/>
      <c r="J17" s="2"/>
      <c r="N17" s="3"/>
      <c r="Q17" s="2"/>
    </row>
    <row r="18" spans="1:17" x14ac:dyDescent="0.25">
      <c r="A18" s="10"/>
      <c r="D18" s="2"/>
      <c r="F18" s="2"/>
      <c r="G18" s="2"/>
      <c r="H18" s="2"/>
      <c r="I18" s="2"/>
      <c r="J18" s="2"/>
      <c r="N18" s="3"/>
      <c r="Q18" s="2"/>
    </row>
    <row r="19" spans="1:17" x14ac:dyDescent="0.25">
      <c r="A19" s="10"/>
      <c r="D19" s="2"/>
      <c r="F19" s="2"/>
      <c r="G19" s="2"/>
      <c r="H19" s="2"/>
      <c r="I19" s="2"/>
      <c r="J19" s="2"/>
      <c r="N19" s="3"/>
      <c r="Q19" s="2"/>
    </row>
    <row r="20" spans="1:17" x14ac:dyDescent="0.25">
      <c r="A20" s="10"/>
      <c r="D20" s="2"/>
      <c r="F20" s="2"/>
      <c r="G20" s="2"/>
      <c r="H20" s="2"/>
      <c r="I20" s="2"/>
      <c r="J20" s="2"/>
      <c r="N20" s="3"/>
      <c r="Q20" s="2"/>
    </row>
    <row r="21" spans="1:17" x14ac:dyDescent="0.25">
      <c r="A21" s="10"/>
      <c r="D21" s="2"/>
      <c r="F21" s="2"/>
      <c r="G21" s="2"/>
      <c r="H21" s="2"/>
      <c r="I21" s="2"/>
      <c r="J21" s="2"/>
      <c r="N21" s="3"/>
      <c r="Q21" s="2"/>
    </row>
    <row r="22" spans="1:17" x14ac:dyDescent="0.25">
      <c r="A22" s="10"/>
      <c r="D22" s="2"/>
      <c r="F22" s="2"/>
      <c r="G22" s="2"/>
      <c r="H22" s="2"/>
      <c r="I22" s="2"/>
      <c r="J22" s="2"/>
      <c r="N22" s="3"/>
      <c r="Q22" s="2"/>
    </row>
    <row r="23" spans="1:17" x14ac:dyDescent="0.25">
      <c r="A23" s="10"/>
      <c r="D23" s="2"/>
      <c r="F23" s="2"/>
      <c r="G23" s="2"/>
      <c r="H23" s="2"/>
      <c r="I23" s="2"/>
      <c r="J23" s="2"/>
      <c r="N23" s="3"/>
      <c r="Q23" s="2"/>
    </row>
    <row r="24" spans="1:17" x14ac:dyDescent="0.25">
      <c r="A24" s="10"/>
      <c r="D24" s="2"/>
      <c r="F24" s="2"/>
      <c r="G24" s="2"/>
      <c r="H24" s="2"/>
      <c r="I24" s="2"/>
      <c r="J24" s="2"/>
      <c r="N24" s="3"/>
      <c r="Q24" s="2"/>
    </row>
    <row r="25" spans="1:17" x14ac:dyDescent="0.25">
      <c r="A25" s="10"/>
      <c r="D25" s="2"/>
      <c r="F25" s="2"/>
      <c r="G25" s="2"/>
      <c r="H25" s="2"/>
      <c r="I25" s="2"/>
      <c r="J25" s="2"/>
      <c r="N25" s="3"/>
      <c r="Q25" s="2"/>
    </row>
    <row r="26" spans="1:17" x14ac:dyDescent="0.25">
      <c r="A26" s="10"/>
      <c r="D26" s="2"/>
      <c r="F26" s="2"/>
      <c r="G26" s="2"/>
      <c r="H26" s="2"/>
      <c r="I26" s="2"/>
      <c r="J26" s="2"/>
      <c r="N26" s="3"/>
      <c r="Q26" s="2"/>
    </row>
    <row r="27" spans="1:17" x14ac:dyDescent="0.25">
      <c r="A27" s="10"/>
      <c r="D27" s="2"/>
      <c r="F27" s="2"/>
      <c r="G27" s="2"/>
      <c r="H27" s="2"/>
      <c r="I27" s="2"/>
      <c r="J27" s="2"/>
      <c r="N27" s="3"/>
      <c r="Q27" s="2"/>
    </row>
    <row r="28" spans="1:17" x14ac:dyDescent="0.25">
      <c r="A28" s="10"/>
      <c r="D28" s="2"/>
      <c r="F28" s="2"/>
      <c r="G28" s="2"/>
      <c r="H28" s="2"/>
      <c r="I28" s="2"/>
      <c r="J28" s="2"/>
      <c r="N28" s="3"/>
      <c r="Q28" s="2"/>
    </row>
    <row r="29" spans="1:17" x14ac:dyDescent="0.25">
      <c r="A29" s="10"/>
      <c r="D29" s="2"/>
      <c r="F29" s="2"/>
      <c r="G29" s="2"/>
      <c r="H29" s="2"/>
      <c r="I29" s="2"/>
      <c r="J29" s="2"/>
      <c r="N29" s="3"/>
      <c r="Q29" s="2"/>
    </row>
    <row r="30" spans="1:17" x14ac:dyDescent="0.25">
      <c r="A30" s="10"/>
      <c r="D30" s="2"/>
      <c r="F30" s="2"/>
      <c r="G30" s="2"/>
      <c r="H30" s="2"/>
      <c r="I30" s="2"/>
      <c r="J30" s="2"/>
      <c r="N30" s="3"/>
      <c r="Q30" s="2"/>
    </row>
    <row r="31" spans="1:17" x14ac:dyDescent="0.25">
      <c r="A31" s="10"/>
      <c r="D31" s="2"/>
      <c r="F31" s="2"/>
      <c r="G31" s="2"/>
      <c r="H31" s="2"/>
      <c r="I31" s="2"/>
      <c r="J31" s="2"/>
      <c r="N31" s="3"/>
      <c r="Q31" s="2"/>
    </row>
    <row r="32" spans="1:17" x14ac:dyDescent="0.25">
      <c r="A32" s="10"/>
      <c r="D32" s="2"/>
      <c r="F32" s="2"/>
      <c r="G32" s="2"/>
      <c r="H32" s="2"/>
      <c r="I32" s="2"/>
      <c r="J32" s="2"/>
      <c r="N32" s="3"/>
      <c r="Q32" s="2"/>
    </row>
  </sheetData>
  <pageMargins left="0.75" right="0.75" top="1" bottom="1" header="0.5" footer="0.5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R14"/>
  <sheetViews>
    <sheetView topLeftCell="G1" workbookViewId="0">
      <selection activeCell="K1" sqref="K1:K1048576"/>
    </sheetView>
  </sheetViews>
  <sheetFormatPr baseColWidth="10" defaultColWidth="9.140625" defaultRowHeight="15" x14ac:dyDescent="0.25"/>
  <cols>
    <col min="1" max="1" width="8.5703125" bestFit="1" customWidth="1"/>
    <col min="2" max="2" width="27.85546875" bestFit="1" customWidth="1"/>
    <col min="3" max="3" width="54.7109375" bestFit="1" customWidth="1"/>
    <col min="4" max="4" width="24.5703125" bestFit="1" customWidth="1"/>
    <col min="5" max="5" width="13.85546875" bestFit="1" customWidth="1"/>
    <col min="6" max="6" width="20.28515625" bestFit="1" customWidth="1"/>
    <col min="7" max="7" width="11.5703125" bestFit="1" customWidth="1"/>
    <col min="8" max="8" width="19.28515625" bestFit="1" customWidth="1"/>
    <col min="9" max="9" width="12" bestFit="1" customWidth="1"/>
    <col min="10" max="10" width="12.7109375" bestFit="1" customWidth="1"/>
    <col min="11" max="11" width="12.7109375" customWidth="1"/>
    <col min="12" max="12" width="18.85546875" bestFit="1" customWidth="1"/>
    <col min="13" max="13" width="16.7109375" bestFit="1" customWidth="1"/>
    <col min="14" max="14" width="11.28515625" bestFit="1" customWidth="1"/>
    <col min="15" max="15" width="13.28515625" bestFit="1" customWidth="1"/>
    <col min="16" max="16" width="12.5703125" bestFit="1" customWidth="1"/>
    <col min="17" max="17" width="15.7109375" bestFit="1" customWidth="1"/>
    <col min="18" max="18" width="18.140625" bestFit="1" customWidth="1"/>
  </cols>
  <sheetData>
    <row r="1" spans="1:18" x14ac:dyDescent="0.25">
      <c r="A1" s="6" t="s">
        <v>67</v>
      </c>
      <c r="B1" s="6" t="s">
        <v>42</v>
      </c>
      <c r="C1" s="6" t="s">
        <v>1</v>
      </c>
      <c r="D1" s="6" t="s">
        <v>43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  <c r="J1" s="6" t="s">
        <v>8</v>
      </c>
      <c r="K1" s="15" t="s">
        <v>9</v>
      </c>
      <c r="L1" s="6" t="s">
        <v>10</v>
      </c>
      <c r="M1" s="6" t="s">
        <v>44</v>
      </c>
      <c r="N1" s="6" t="s">
        <v>12</v>
      </c>
      <c r="O1" s="6" t="s">
        <v>45</v>
      </c>
      <c r="P1" s="6" t="s">
        <v>14</v>
      </c>
      <c r="Q1" s="6" t="s">
        <v>46</v>
      </c>
      <c r="R1" s="15" t="s">
        <v>91</v>
      </c>
    </row>
    <row r="2" spans="1:18" x14ac:dyDescent="0.25">
      <c r="A2" s="7" t="str">
        <f>IFERROR(TEXT(FactVentas[[#This Row],[FECHA]],"yyyy-mm"),"SIN_FECHA")</f>
        <v>2025-07</v>
      </c>
      <c r="B2" t="s">
        <v>47</v>
      </c>
      <c r="C2" t="s">
        <v>48</v>
      </c>
      <c r="D2" s="2">
        <v>131.86880165289261</v>
      </c>
      <c r="E2">
        <v>21</v>
      </c>
      <c r="F2" s="13">
        <f>H2+I2+J2</f>
        <v>204238.40000000008</v>
      </c>
      <c r="G2" s="2">
        <v>1280</v>
      </c>
      <c r="H2" s="13">
        <f>D2*G2</f>
        <v>168792.06611570256</v>
      </c>
      <c r="I2" s="13">
        <f>IF(E2=21,(H2*1.21)-H2,0)</f>
        <v>35446.333884297521</v>
      </c>
      <c r="J2" s="13">
        <f>IF(E2=10.5,(H2*1.105)-H2,0)</f>
        <v>0</v>
      </c>
      <c r="K2" s="13" t="s">
        <v>23</v>
      </c>
      <c r="L2">
        <v>2</v>
      </c>
      <c r="M2">
        <v>30716843374</v>
      </c>
      <c r="N2" s="8">
        <v>45849</v>
      </c>
      <c r="O2" t="s">
        <v>19</v>
      </c>
      <c r="P2" t="str">
        <f t="shared" ref="P2:P14" si="0">IF(C2=FALSE,,IF(O2&lt;&gt;"GALICIA","ADEUDADO","PAGADO"))</f>
        <v>PAGADO</v>
      </c>
      <c r="Q2" s="2">
        <f>FactVentas[[#This Row],[IVA_21]]+FactVentas[[#This Row],[IVA_105]]</f>
        <v>35446.333884297521</v>
      </c>
      <c r="R2" t="s">
        <v>94</v>
      </c>
    </row>
    <row r="3" spans="1:18" x14ac:dyDescent="0.25">
      <c r="A3" s="7" t="str">
        <f>IFERROR(TEXT(FactVentas[[#This Row],[FECHA]],"yyyy-mm"),"SIN_FECHA")</f>
        <v>2025-07</v>
      </c>
      <c r="B3" t="s">
        <v>49</v>
      </c>
      <c r="C3" t="s">
        <v>50</v>
      </c>
      <c r="D3" s="2">
        <v>20.546875</v>
      </c>
      <c r="E3">
        <v>21</v>
      </c>
      <c r="F3" s="13">
        <f t="shared" ref="F3:F14" si="1">H3+I3+J3</f>
        <v>31823</v>
      </c>
      <c r="G3" s="2">
        <v>1280</v>
      </c>
      <c r="H3" s="13">
        <f t="shared" ref="H3:H14" si="2">D3*G3</f>
        <v>26300</v>
      </c>
      <c r="I3" s="13">
        <f t="shared" ref="I3:I14" si="3">IF(E3=21,(H3*1.21)-H3,0)</f>
        <v>5523</v>
      </c>
      <c r="J3" s="13">
        <f t="shared" ref="J3:J14" si="4">IF(E3=10.5,(H3*1.105)-H3,0)</f>
        <v>0</v>
      </c>
      <c r="K3" s="13" t="s">
        <v>23</v>
      </c>
      <c r="L3">
        <v>1</v>
      </c>
      <c r="M3">
        <v>30668346908</v>
      </c>
      <c r="N3" s="8">
        <v>45845</v>
      </c>
      <c r="O3" t="s">
        <v>19</v>
      </c>
      <c r="P3" t="str">
        <f t="shared" si="0"/>
        <v>PAGADO</v>
      </c>
      <c r="Q3" s="2">
        <f>FactVentas[[#This Row],[IVA_21]]+FactVentas[[#This Row],[IVA_105]]</f>
        <v>5523</v>
      </c>
      <c r="R3" t="s">
        <v>94</v>
      </c>
    </row>
    <row r="4" spans="1:18" x14ac:dyDescent="0.25">
      <c r="A4" s="7" t="str">
        <f>IFERROR(TEXT(FactVentas[[#This Row],[FECHA]],"yyyy-mm"),"SIN_FECHA")</f>
        <v>2025-07</v>
      </c>
      <c r="B4" t="s">
        <v>51</v>
      </c>
      <c r="C4" t="s">
        <v>52</v>
      </c>
      <c r="D4" s="2">
        <v>86.489960937500001</v>
      </c>
      <c r="E4">
        <v>21</v>
      </c>
      <c r="F4" s="13">
        <f t="shared" si="1"/>
        <v>133955.65149999998</v>
      </c>
      <c r="G4" s="2">
        <v>1280</v>
      </c>
      <c r="H4" s="13">
        <f t="shared" si="2"/>
        <v>110707.15</v>
      </c>
      <c r="I4" s="13">
        <f t="shared" si="3"/>
        <v>23248.501499999984</v>
      </c>
      <c r="J4" s="13">
        <f t="shared" si="4"/>
        <v>0</v>
      </c>
      <c r="K4" s="13" t="s">
        <v>119</v>
      </c>
      <c r="L4">
        <v>2</v>
      </c>
      <c r="M4">
        <v>33609754309</v>
      </c>
      <c r="N4" s="8">
        <v>45845</v>
      </c>
      <c r="O4" t="s">
        <v>19</v>
      </c>
      <c r="P4" t="str">
        <f t="shared" si="0"/>
        <v>PAGADO</v>
      </c>
      <c r="Q4" s="2">
        <f>FactVentas[[#This Row],[IVA_21]]+FactVentas[[#This Row],[IVA_105]]</f>
        <v>23248.501499999984</v>
      </c>
      <c r="R4" t="s">
        <v>94</v>
      </c>
    </row>
    <row r="5" spans="1:18" x14ac:dyDescent="0.25">
      <c r="A5" s="7" t="str">
        <f>IFERROR(TEXT(FactVentas[[#This Row],[FECHA]],"yyyy-mm"),"SIN_FECHA")</f>
        <v>2025-07</v>
      </c>
      <c r="B5" t="s">
        <v>51</v>
      </c>
      <c r="C5" t="s">
        <v>53</v>
      </c>
      <c r="D5" s="2">
        <v>51.652892561983471</v>
      </c>
      <c r="E5">
        <v>21</v>
      </c>
      <c r="F5" s="13">
        <f t="shared" si="1"/>
        <v>80000</v>
      </c>
      <c r="G5" s="2">
        <v>1280</v>
      </c>
      <c r="H5" s="13">
        <f t="shared" si="2"/>
        <v>66115.702479338841</v>
      </c>
      <c r="I5" s="13">
        <f t="shared" si="3"/>
        <v>13884.297520661159</v>
      </c>
      <c r="J5" s="13">
        <f t="shared" si="4"/>
        <v>0</v>
      </c>
      <c r="K5" s="13" t="s">
        <v>119</v>
      </c>
      <c r="L5">
        <v>4</v>
      </c>
      <c r="M5">
        <v>33609754309</v>
      </c>
      <c r="N5" s="8">
        <v>45849</v>
      </c>
      <c r="O5" t="s">
        <v>19</v>
      </c>
      <c r="P5" t="str">
        <f t="shared" si="0"/>
        <v>PAGADO</v>
      </c>
      <c r="Q5" s="2">
        <f>FactVentas[[#This Row],[IVA_21]]+FactVentas[[#This Row],[IVA_105]]</f>
        <v>13884.297520661159</v>
      </c>
      <c r="R5" t="s">
        <v>94</v>
      </c>
    </row>
    <row r="6" spans="1:18" x14ac:dyDescent="0.25">
      <c r="A6" s="7" t="str">
        <f>IFERROR(TEXT(FactVentas[[#This Row],[FECHA]],"yyyy-mm"),"SIN_FECHA")</f>
        <v>2025-07</v>
      </c>
      <c r="B6" t="s">
        <v>51</v>
      </c>
      <c r="C6" t="s">
        <v>54</v>
      </c>
      <c r="D6" s="2">
        <v>41.96797520661157</v>
      </c>
      <c r="E6">
        <v>21</v>
      </c>
      <c r="F6" s="13">
        <f t="shared" si="1"/>
        <v>65000</v>
      </c>
      <c r="G6" s="2">
        <v>1280</v>
      </c>
      <c r="H6" s="13">
        <f t="shared" si="2"/>
        <v>53719.008264462813</v>
      </c>
      <c r="I6" s="13">
        <f t="shared" si="3"/>
        <v>11280.991735537187</v>
      </c>
      <c r="J6" s="13">
        <f t="shared" si="4"/>
        <v>0</v>
      </c>
      <c r="K6" s="13" t="s">
        <v>119</v>
      </c>
      <c r="L6">
        <v>5</v>
      </c>
      <c r="M6">
        <v>33609754309</v>
      </c>
      <c r="N6" s="8">
        <v>45849</v>
      </c>
      <c r="O6" t="s">
        <v>19</v>
      </c>
      <c r="P6" t="str">
        <f t="shared" si="0"/>
        <v>PAGADO</v>
      </c>
      <c r="Q6" s="2">
        <f>FactVentas[[#This Row],[IVA_21]]+FactVentas[[#This Row],[IVA_105]]</f>
        <v>11280.991735537187</v>
      </c>
      <c r="R6" t="s">
        <v>94</v>
      </c>
    </row>
    <row r="7" spans="1:18" x14ac:dyDescent="0.25">
      <c r="A7" s="7" t="str">
        <f>IFERROR(TEXT(FactVentas[[#This Row],[FECHA]],"yyyy-mm"),"SIN_FECHA")</f>
        <v>2025-07</v>
      </c>
      <c r="B7" t="s">
        <v>51</v>
      </c>
      <c r="C7" t="s">
        <v>55</v>
      </c>
      <c r="D7" s="2">
        <v>62.855554687500003</v>
      </c>
      <c r="E7">
        <v>21</v>
      </c>
      <c r="F7" s="13">
        <f t="shared" si="1"/>
        <v>97350.683099999995</v>
      </c>
      <c r="G7" s="2">
        <v>1280</v>
      </c>
      <c r="H7" s="13">
        <f t="shared" si="2"/>
        <v>80455.11</v>
      </c>
      <c r="I7" s="13">
        <f t="shared" si="3"/>
        <v>16895.573099999994</v>
      </c>
      <c r="J7" s="13">
        <f t="shared" si="4"/>
        <v>0</v>
      </c>
      <c r="K7" s="13" t="s">
        <v>119</v>
      </c>
      <c r="L7">
        <v>1</v>
      </c>
      <c r="M7">
        <v>33609754309</v>
      </c>
      <c r="N7" s="8">
        <v>45839</v>
      </c>
      <c r="O7" t="s">
        <v>19</v>
      </c>
      <c r="P7" t="str">
        <f t="shared" si="0"/>
        <v>PAGADO</v>
      </c>
      <c r="Q7" s="2">
        <f>FactVentas[[#This Row],[IVA_21]]+FactVentas[[#This Row],[IVA_105]]</f>
        <v>16895.573099999994</v>
      </c>
      <c r="R7" t="s">
        <v>94</v>
      </c>
    </row>
    <row r="8" spans="1:18" x14ac:dyDescent="0.25">
      <c r="A8" s="7" t="str">
        <f>IFERROR(TEXT(FactVentas[[#This Row],[FECHA]],"yyyy-mm"),"SIN_FECHA")</f>
        <v>2025-07</v>
      </c>
      <c r="B8" t="s">
        <v>56</v>
      </c>
      <c r="C8" t="s">
        <v>57</v>
      </c>
      <c r="D8" s="2">
        <v>90.031171874999998</v>
      </c>
      <c r="E8">
        <v>21</v>
      </c>
      <c r="F8" s="13">
        <f t="shared" si="1"/>
        <v>139440.27899999998</v>
      </c>
      <c r="G8" s="2">
        <v>1280</v>
      </c>
      <c r="H8" s="13">
        <f t="shared" si="2"/>
        <v>115239.9</v>
      </c>
      <c r="I8" s="13">
        <f t="shared" si="3"/>
        <v>24200.378999999986</v>
      </c>
      <c r="J8" s="13">
        <f t="shared" si="4"/>
        <v>0</v>
      </c>
      <c r="K8" s="13" t="s">
        <v>23</v>
      </c>
      <c r="L8">
        <v>7</v>
      </c>
      <c r="M8">
        <v>30562828474</v>
      </c>
      <c r="N8" s="8">
        <v>45868</v>
      </c>
      <c r="O8" t="s">
        <v>19</v>
      </c>
      <c r="P8" t="str">
        <f t="shared" si="0"/>
        <v>PAGADO</v>
      </c>
      <c r="Q8" s="2">
        <f>FactVentas[[#This Row],[IVA_21]]+FactVentas[[#This Row],[IVA_105]]</f>
        <v>24200.378999999986</v>
      </c>
      <c r="R8" t="s">
        <v>94</v>
      </c>
    </row>
    <row r="9" spans="1:18" x14ac:dyDescent="0.25">
      <c r="A9" s="7" t="str">
        <f>IFERROR(TEXT(FactVentas[[#This Row],[FECHA]],"yyyy-mm"),"SIN_FECHA")</f>
        <v>2025-07</v>
      </c>
      <c r="B9" t="s">
        <v>58</v>
      </c>
      <c r="C9" t="s">
        <v>34</v>
      </c>
      <c r="D9" s="2">
        <v>110.2132777149321</v>
      </c>
      <c r="E9">
        <v>10.5</v>
      </c>
      <c r="F9" s="13">
        <f t="shared" si="1"/>
        <v>155885.65999999997</v>
      </c>
      <c r="G9" s="2">
        <v>1280</v>
      </c>
      <c r="H9" s="13">
        <f t="shared" si="2"/>
        <v>141072.9954751131</v>
      </c>
      <c r="I9" s="13">
        <f t="shared" si="3"/>
        <v>0</v>
      </c>
      <c r="J9" s="13">
        <f t="shared" si="4"/>
        <v>14812.664524886874</v>
      </c>
      <c r="K9" s="13" t="s">
        <v>23</v>
      </c>
      <c r="L9">
        <v>3</v>
      </c>
      <c r="M9">
        <v>30707731407</v>
      </c>
      <c r="N9" s="8">
        <v>45868</v>
      </c>
      <c r="O9" t="s">
        <v>19</v>
      </c>
      <c r="P9" t="str">
        <f t="shared" si="0"/>
        <v>PAGADO</v>
      </c>
      <c r="Q9" s="2">
        <f>FactVentas[[#This Row],[IVA_21]]+FactVentas[[#This Row],[IVA_105]]</f>
        <v>14812.664524886874</v>
      </c>
      <c r="R9" t="s">
        <v>94</v>
      </c>
    </row>
    <row r="10" spans="1:18" x14ac:dyDescent="0.25">
      <c r="A10" s="7" t="str">
        <f>IFERROR(TEXT(FactVentas[[#This Row],[FECHA]],"yyyy-mm"),"SIN_FECHA")</f>
        <v>2025-07</v>
      </c>
      <c r="B10" t="s">
        <v>49</v>
      </c>
      <c r="C10" t="s">
        <v>36</v>
      </c>
      <c r="D10" s="2">
        <v>275.37681702488692</v>
      </c>
      <c r="E10">
        <v>10.5</v>
      </c>
      <c r="F10" s="13">
        <f t="shared" si="1"/>
        <v>389492.97000000003</v>
      </c>
      <c r="G10" s="2">
        <v>1280</v>
      </c>
      <c r="H10" s="13">
        <f t="shared" si="2"/>
        <v>352482.32579185523</v>
      </c>
      <c r="I10" s="13">
        <f t="shared" si="3"/>
        <v>0</v>
      </c>
      <c r="J10" s="13">
        <f t="shared" si="4"/>
        <v>37010.644208144804</v>
      </c>
      <c r="K10" s="13" t="s">
        <v>23</v>
      </c>
      <c r="L10">
        <v>4</v>
      </c>
      <c r="M10">
        <v>30668346908</v>
      </c>
      <c r="N10" s="8">
        <v>45868</v>
      </c>
      <c r="O10" t="s">
        <v>19</v>
      </c>
      <c r="P10" t="str">
        <f t="shared" si="0"/>
        <v>PAGADO</v>
      </c>
      <c r="Q10" s="2">
        <f>FactVentas[[#This Row],[IVA_21]]+FactVentas[[#This Row],[IVA_105]]</f>
        <v>37010.644208144804</v>
      </c>
      <c r="R10" t="s">
        <v>94</v>
      </c>
    </row>
    <row r="11" spans="1:18" x14ac:dyDescent="0.25">
      <c r="A11" s="7" t="str">
        <f>IFERROR(TEXT(FactVentas[[#This Row],[FECHA]],"yyyy-mm"),"SIN_FECHA")</f>
        <v>2025-07</v>
      </c>
      <c r="B11" t="s">
        <v>59</v>
      </c>
      <c r="C11" t="s">
        <v>37</v>
      </c>
      <c r="D11" s="2">
        <v>434.4138857466063</v>
      </c>
      <c r="E11">
        <v>10.5</v>
      </c>
      <c r="F11" s="13">
        <f t="shared" si="1"/>
        <v>614435</v>
      </c>
      <c r="G11" s="2">
        <v>1280</v>
      </c>
      <c r="H11" s="13">
        <f t="shared" si="2"/>
        <v>556049.77375565609</v>
      </c>
      <c r="I11" s="13">
        <f t="shared" si="3"/>
        <v>0</v>
      </c>
      <c r="J11" s="13">
        <f t="shared" si="4"/>
        <v>58385.22624434391</v>
      </c>
      <c r="K11" s="13" t="s">
        <v>119</v>
      </c>
      <c r="L11">
        <v>6</v>
      </c>
      <c r="M11">
        <v>33609754309</v>
      </c>
      <c r="N11" s="8">
        <v>45868</v>
      </c>
      <c r="P11" t="str">
        <f t="shared" si="0"/>
        <v>ADEUDADO</v>
      </c>
      <c r="Q11" s="2">
        <f>FactVentas[[#This Row],[IVA_21]]+FactVentas[[#This Row],[IVA_105]]</f>
        <v>58385.22624434391</v>
      </c>
      <c r="R11" t="s">
        <v>94</v>
      </c>
    </row>
    <row r="12" spans="1:18" x14ac:dyDescent="0.25">
      <c r="A12" s="7" t="str">
        <f>IFERROR(TEXT(FactVentas[[#This Row],[FECHA]],"yyyy-mm"),"SIN_FECHA")</f>
        <v>2025-07</v>
      </c>
      <c r="B12" t="s">
        <v>60</v>
      </c>
      <c r="C12" t="s">
        <v>61</v>
      </c>
      <c r="D12" s="2">
        <v>581</v>
      </c>
      <c r="E12">
        <v>10.5</v>
      </c>
      <c r="F12" s="13">
        <f t="shared" si="1"/>
        <v>866706.75</v>
      </c>
      <c r="G12" s="2">
        <v>1350</v>
      </c>
      <c r="H12" s="13">
        <f t="shared" si="2"/>
        <v>784350</v>
      </c>
      <c r="I12" s="13">
        <f t="shared" si="3"/>
        <v>0</v>
      </c>
      <c r="J12" s="13">
        <f t="shared" si="4"/>
        <v>82356.75</v>
      </c>
      <c r="K12" s="13" t="s">
        <v>23</v>
      </c>
      <c r="L12">
        <v>6</v>
      </c>
      <c r="M12">
        <v>30716843374</v>
      </c>
      <c r="N12" s="8">
        <v>45868</v>
      </c>
      <c r="O12" t="s">
        <v>19</v>
      </c>
      <c r="P12" t="str">
        <f t="shared" si="0"/>
        <v>PAGADO</v>
      </c>
      <c r="Q12" s="2">
        <f>FactVentas[[#This Row],[IVA_21]]+FactVentas[[#This Row],[IVA_105]]</f>
        <v>82356.75</v>
      </c>
      <c r="R12" t="s">
        <v>93</v>
      </c>
    </row>
    <row r="13" spans="1:18" x14ac:dyDescent="0.25">
      <c r="A13" s="7" t="str">
        <f>IFERROR(TEXT(FactVentas[[#This Row],[FECHA]],"yyyy-mm"),"SIN_FECHA")</f>
        <v>2025-07</v>
      </c>
      <c r="B13" t="s">
        <v>62</v>
      </c>
      <c r="C13" t="s">
        <v>40</v>
      </c>
      <c r="D13" s="2">
        <v>43.99589743589744</v>
      </c>
      <c r="E13">
        <v>10.5</v>
      </c>
      <c r="F13" s="13">
        <f t="shared" si="1"/>
        <v>65630.880000000005</v>
      </c>
      <c r="G13" s="2">
        <v>1350</v>
      </c>
      <c r="H13" s="13">
        <f t="shared" si="2"/>
        <v>59394.461538461546</v>
      </c>
      <c r="I13" s="13">
        <f t="shared" si="3"/>
        <v>0</v>
      </c>
      <c r="J13" s="13">
        <f t="shared" si="4"/>
        <v>6236.4184615384584</v>
      </c>
      <c r="K13" s="13" t="s">
        <v>23</v>
      </c>
      <c r="L13">
        <v>5</v>
      </c>
      <c r="M13">
        <v>30600149330</v>
      </c>
      <c r="N13" s="8">
        <v>45868</v>
      </c>
      <c r="P13" t="str">
        <f t="shared" si="0"/>
        <v>ADEUDADO</v>
      </c>
      <c r="Q13" s="2">
        <f>FactVentas[[#This Row],[IVA_21]]+FactVentas[[#This Row],[IVA_105]]</f>
        <v>6236.4184615384584</v>
      </c>
      <c r="R13" t="s">
        <v>93</v>
      </c>
    </row>
    <row r="14" spans="1:18" x14ac:dyDescent="0.25">
      <c r="A14" s="7" t="str">
        <f>IFERROR(TEXT(FactVentas[[#This Row],[FECHA]],"yyyy-mm"),"SIN_FECHA")</f>
        <v>2025-07</v>
      </c>
      <c r="B14" t="s">
        <v>63</v>
      </c>
      <c r="C14" t="s">
        <v>41</v>
      </c>
      <c r="D14" s="2">
        <v>65.666666666666671</v>
      </c>
      <c r="E14">
        <v>21</v>
      </c>
      <c r="F14" s="13">
        <f t="shared" si="1"/>
        <v>107266.5</v>
      </c>
      <c r="G14" s="2">
        <v>1350</v>
      </c>
      <c r="H14" s="13">
        <f t="shared" si="2"/>
        <v>88650</v>
      </c>
      <c r="I14" s="13">
        <f t="shared" si="3"/>
        <v>18616.5</v>
      </c>
      <c r="J14" s="13">
        <f t="shared" si="4"/>
        <v>0</v>
      </c>
      <c r="K14" s="13" t="s">
        <v>119</v>
      </c>
      <c r="L14">
        <v>8</v>
      </c>
      <c r="M14">
        <v>30562828474</v>
      </c>
      <c r="N14" s="8">
        <v>45868</v>
      </c>
      <c r="O14" t="s">
        <v>19</v>
      </c>
      <c r="P14" t="str">
        <f t="shared" si="0"/>
        <v>PAGADO</v>
      </c>
      <c r="Q14" s="2">
        <f>FactVentas[[#This Row],[IVA_21]]+FactVentas[[#This Row],[IVA_105]]</f>
        <v>18616.5</v>
      </c>
      <c r="R14" t="s">
        <v>93</v>
      </c>
    </row>
  </sheetData>
  <phoneticPr fontId="6" type="noConversion"/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V2"/>
  <sheetViews>
    <sheetView workbookViewId="0">
      <selection activeCell="G12" sqref="G12"/>
    </sheetView>
  </sheetViews>
  <sheetFormatPr baseColWidth="10" defaultColWidth="9.140625" defaultRowHeight="15" x14ac:dyDescent="0.25"/>
  <cols>
    <col min="1" max="1" width="8.5703125" bestFit="1" customWidth="1"/>
    <col min="2" max="2" width="16.42578125" bestFit="1" customWidth="1"/>
    <col min="3" max="3" width="12.85546875" bestFit="1" customWidth="1"/>
    <col min="4" max="4" width="24.5703125" bestFit="1" customWidth="1"/>
    <col min="5" max="5" width="13.85546875" bestFit="1" customWidth="1"/>
    <col min="6" max="6" width="20.28515625" bestFit="1" customWidth="1"/>
    <col min="7" max="7" width="18.85546875" bestFit="1" customWidth="1"/>
    <col min="8" max="8" width="9.7109375" bestFit="1" customWidth="1"/>
    <col min="9" max="9" width="11.28515625" bestFit="1" customWidth="1"/>
    <col min="10" max="11" width="12.5703125" bestFit="1" customWidth="1"/>
    <col min="12" max="12" width="20.7109375" bestFit="1" customWidth="1"/>
    <col min="13" max="13" width="23" customWidth="1"/>
    <col min="14" max="14" width="23.5703125" bestFit="1" customWidth="1"/>
    <col min="15" max="15" width="19.28515625" bestFit="1" customWidth="1"/>
    <col min="17" max="18" width="14.42578125" bestFit="1" customWidth="1"/>
  </cols>
  <sheetData>
    <row r="1" spans="1:22" x14ac:dyDescent="0.25">
      <c r="A1" s="5" t="s">
        <v>67</v>
      </c>
      <c r="B1" s="6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  <c r="J1" s="6" t="s">
        <v>8</v>
      </c>
      <c r="K1" s="6" t="s">
        <v>9</v>
      </c>
      <c r="L1" s="15" t="s">
        <v>10</v>
      </c>
      <c r="M1" s="6" t="s">
        <v>11</v>
      </c>
      <c r="N1" s="6" t="s">
        <v>12</v>
      </c>
      <c r="O1" s="6" t="s">
        <v>13</v>
      </c>
      <c r="P1" s="17" t="s">
        <v>14</v>
      </c>
      <c r="Q1" s="17" t="s">
        <v>15</v>
      </c>
      <c r="R1" s="17" t="s">
        <v>91</v>
      </c>
      <c r="S1" s="6" t="s">
        <v>64</v>
      </c>
      <c r="T1" s="6" t="s">
        <v>65</v>
      </c>
      <c r="U1" s="6" t="s">
        <v>66</v>
      </c>
      <c r="V1" s="17" t="s">
        <v>118</v>
      </c>
    </row>
    <row r="2" spans="1:22" x14ac:dyDescent="0.25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15"/>
      <c r="M2" s="6"/>
      <c r="N2" s="6"/>
      <c r="O2" s="6"/>
      <c r="P2" s="17"/>
      <c r="Q2" s="17"/>
      <c r="R2" s="17"/>
      <c r="S2" s="6"/>
      <c r="T2" s="6"/>
      <c r="U2" s="6"/>
      <c r="V2" s="17"/>
    </row>
  </sheetData>
  <phoneticPr fontId="6" type="noConversion"/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M2"/>
  <sheetViews>
    <sheetView workbookViewId="0">
      <selection activeCell="F13" sqref="F13"/>
    </sheetView>
  </sheetViews>
  <sheetFormatPr baseColWidth="10" defaultColWidth="9.140625" defaultRowHeight="15" x14ac:dyDescent="0.25"/>
  <cols>
    <col min="1" max="1" width="7.7109375" bestFit="1" customWidth="1"/>
    <col min="2" max="2" width="14.85546875" bestFit="1" customWidth="1"/>
    <col min="3" max="3" width="10.42578125" bestFit="1" customWidth="1"/>
    <col min="4" max="4" width="16.5703125" bestFit="1" customWidth="1"/>
    <col min="5" max="5" width="12" bestFit="1" customWidth="1"/>
    <col min="6" max="6" width="18.42578125" bestFit="1" customWidth="1"/>
    <col min="7" max="7" width="23.42578125" bestFit="1" customWidth="1"/>
    <col min="8" max="8" width="22.5703125" bestFit="1" customWidth="1"/>
    <col min="9" max="9" width="15.5703125" bestFit="1" customWidth="1"/>
    <col min="10" max="10" width="12" bestFit="1" customWidth="1"/>
    <col min="11" max="11" width="21.7109375" bestFit="1" customWidth="1"/>
    <col min="12" max="12" width="21" bestFit="1" customWidth="1"/>
    <col min="13" max="13" width="28.28515625" bestFit="1" customWidth="1"/>
    <col min="14" max="14" width="18" bestFit="1" customWidth="1"/>
  </cols>
  <sheetData>
    <row r="1" spans="1:13" x14ac:dyDescent="0.25">
      <c r="A1" s="11" t="s">
        <v>67</v>
      </c>
      <c r="B1" s="11" t="s">
        <v>70</v>
      </c>
      <c r="C1" s="11" t="s">
        <v>71</v>
      </c>
      <c r="D1" s="11" t="s">
        <v>68</v>
      </c>
      <c r="E1" s="11" t="s">
        <v>69</v>
      </c>
      <c r="F1" s="11" t="s">
        <v>72</v>
      </c>
      <c r="G1" s="11" t="s">
        <v>73</v>
      </c>
      <c r="H1" s="11" t="s">
        <v>75</v>
      </c>
      <c r="I1" s="11" t="s">
        <v>74</v>
      </c>
      <c r="J1" s="11" t="s">
        <v>76</v>
      </c>
      <c r="K1" s="11" t="s">
        <v>77</v>
      </c>
      <c r="L1" s="11" t="s">
        <v>78</v>
      </c>
      <c r="M1" s="11" t="s">
        <v>90</v>
      </c>
    </row>
    <row r="2" spans="1:13" x14ac:dyDescent="0.25">
      <c r="A2" t="s">
        <v>79</v>
      </c>
      <c r="B2" s="14">
        <f>ROUND(SUMIFS(FactVentas[PESOS_SIN_IVA],FactVentas[YM],$A2),2)</f>
        <v>2603328.4900000002</v>
      </c>
      <c r="C2" s="14">
        <f>ROUND(SUMIFS(FactVentas[IVA_21],FactVentas[YM],$A2)+SUMIFS(FactVentas[IVA_105],FactVentas[YM],$A2),2)</f>
        <v>347897.28</v>
      </c>
      <c r="D2" s="14">
        <f>ROUND(SUMIFS(FactCompras[PESOS_SIN_IVA],FactCompras[YM],$A2),2)</f>
        <v>2117351.52</v>
      </c>
      <c r="E2" s="14">
        <f>ROUND(SUMIFS(FactCompras[IVA_21],FactCompras[YM],$A2)+SUMIFS(FactCompras[IVA_105],FactCompras[YM],$A2),2)</f>
        <v>125646.07</v>
      </c>
      <c r="F2" s="14">
        <f>ROUND(SUMIFS(FactComprasPers[COSTO_USD_SIN_IVA],FactComprasPers[YM],$A2)+SUMIFS(FactComprasPers[IVA_TIPO],FactComprasPers[YM],$A2),2)</f>
        <v>0</v>
      </c>
      <c r="G2" s="14">
        <f>ROUND($F2*0.5,2)</f>
        <v>0</v>
      </c>
      <c r="H2" s="14">
        <f>ROUND($E2+$G2,2)</f>
        <v>125646.07</v>
      </c>
      <c r="I2" s="14">
        <f>ROUND($B2-$D2,2)</f>
        <v>485976.97</v>
      </c>
      <c r="J2" s="14">
        <f>ROUND($C2-$H2,2)</f>
        <v>222251.21</v>
      </c>
      <c r="K2" s="14">
        <f>ROUND($I2*0.53,2)</f>
        <v>257567.79</v>
      </c>
      <c r="L2" s="14">
        <f>ROUND($I2*1.59,2)</f>
        <v>772703.38</v>
      </c>
      <c r="M2">
        <v>0</v>
      </c>
    </row>
  </sheetData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4" name="btnActualizarOEVI">
              <controlPr defaultSize="0" print="0" autoFill="0" autoPict="0" macro="[0]!ResumenMensual">
                <anchor moveWithCells="1" sizeWithCells="1">
                  <from>
                    <xdr:col>1</xdr:col>
                    <xdr:colOff>38100</xdr:colOff>
                    <xdr:row>7</xdr:row>
                    <xdr:rowOff>19050</xdr:rowOff>
                  </from>
                  <to>
                    <xdr:col>3</xdr:col>
                    <xdr:colOff>276225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CCEDD-5C65-48B3-993E-9130C844734F}">
  <sheetPr codeName="Hoja10"/>
  <dimension ref="A1:H5"/>
  <sheetViews>
    <sheetView workbookViewId="0">
      <selection activeCell="G12" sqref="G12"/>
    </sheetView>
  </sheetViews>
  <sheetFormatPr baseColWidth="10" defaultRowHeight="15" x14ac:dyDescent="0.25"/>
  <cols>
    <col min="2" max="2" width="15.7109375" customWidth="1"/>
    <col min="3" max="3" width="16.28515625" customWidth="1"/>
    <col min="4" max="4" width="18.5703125" customWidth="1"/>
    <col min="5" max="5" width="19.85546875" customWidth="1"/>
    <col min="6" max="6" width="16.5703125" customWidth="1"/>
    <col min="7" max="7" width="22.42578125" customWidth="1"/>
    <col min="8" max="8" width="22" customWidth="1"/>
  </cols>
  <sheetData>
    <row r="1" spans="1:8" x14ac:dyDescent="0.25">
      <c r="A1" t="s">
        <v>67</v>
      </c>
      <c r="B1" t="s">
        <v>91</v>
      </c>
      <c r="C1" t="s">
        <v>92</v>
      </c>
      <c r="D1" t="s">
        <v>104</v>
      </c>
      <c r="E1" t="s">
        <v>96</v>
      </c>
      <c r="F1" t="s">
        <v>97</v>
      </c>
      <c r="G1" t="s">
        <v>102</v>
      </c>
      <c r="H1" t="s">
        <v>103</v>
      </c>
    </row>
    <row r="2" spans="1:8" x14ac:dyDescent="0.25">
      <c r="A2" t="s">
        <v>79</v>
      </c>
      <c r="B2" t="s">
        <v>99</v>
      </c>
      <c r="C2">
        <v>0</v>
      </c>
      <c r="D2">
        <v>0</v>
      </c>
      <c r="E2">
        <v>0</v>
      </c>
      <c r="F2">
        <v>0</v>
      </c>
      <c r="G2">
        <v>257567.79</v>
      </c>
      <c r="H2">
        <v>257567.79</v>
      </c>
    </row>
    <row r="3" spans="1:8" x14ac:dyDescent="0.25">
      <c r="A3" t="s">
        <v>79</v>
      </c>
      <c r="B3" t="s">
        <v>94</v>
      </c>
      <c r="C3">
        <v>380808.82</v>
      </c>
      <c r="D3">
        <v>201828.67</v>
      </c>
      <c r="E3">
        <v>76161.759999999995</v>
      </c>
      <c r="F3">
        <v>34272.79</v>
      </c>
      <c r="G3">
        <v>9465.1299999999992</v>
      </c>
      <c r="H3">
        <v>119899.68</v>
      </c>
    </row>
    <row r="4" spans="1:8" x14ac:dyDescent="0.25">
      <c r="A4" t="s">
        <v>79</v>
      </c>
      <c r="B4" t="s">
        <v>95</v>
      </c>
      <c r="C4">
        <v>0</v>
      </c>
      <c r="D4">
        <v>0</v>
      </c>
      <c r="E4">
        <v>0</v>
      </c>
      <c r="F4">
        <v>0</v>
      </c>
      <c r="G4">
        <v>43737.919999999998</v>
      </c>
      <c r="H4">
        <v>43737.919999999998</v>
      </c>
    </row>
    <row r="5" spans="1:8" x14ac:dyDescent="0.25">
      <c r="A5" t="s">
        <v>79</v>
      </c>
      <c r="B5" t="s">
        <v>93</v>
      </c>
      <c r="C5">
        <v>105168.15</v>
      </c>
      <c r="D5">
        <v>55739.12</v>
      </c>
      <c r="E5">
        <v>21033.63</v>
      </c>
      <c r="F5">
        <v>9465.1299999999992</v>
      </c>
      <c r="G5">
        <v>34272.79</v>
      </c>
      <c r="H5">
        <v>64771.55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A87D2-FF92-41C2-9DE2-AB3B748087E2}">
  <sheetPr codeName="Hoja12"/>
  <dimension ref="A1:M22"/>
  <sheetViews>
    <sheetView tabSelected="1" topLeftCell="A6" workbookViewId="0">
      <selection activeCell="I10" sqref="I10:I22"/>
    </sheetView>
  </sheetViews>
  <sheetFormatPr baseColWidth="10" defaultRowHeight="15" x14ac:dyDescent="0.25"/>
  <cols>
    <col min="1" max="1" width="16.5703125" customWidth="1"/>
    <col min="2" max="2" width="10.7109375" bestFit="1" customWidth="1"/>
    <col min="3" max="3" width="19.5703125" customWidth="1"/>
    <col min="4" max="4" width="16.42578125" customWidth="1"/>
    <col min="5" max="5" width="14.7109375" bestFit="1" customWidth="1"/>
    <col min="6" max="6" width="16" customWidth="1"/>
    <col min="7" max="7" width="16.85546875" customWidth="1"/>
    <col min="8" max="8" width="14.140625" bestFit="1" customWidth="1"/>
    <col min="9" max="9" width="14.42578125" bestFit="1" customWidth="1"/>
    <col min="10" max="10" width="17.85546875" customWidth="1"/>
    <col min="12" max="12" width="16.5703125" customWidth="1"/>
    <col min="13" max="13" width="15.7109375" customWidth="1"/>
  </cols>
  <sheetData>
    <row r="1" spans="1:13" x14ac:dyDescent="0.25">
      <c r="A1" t="s">
        <v>108</v>
      </c>
      <c r="B1" t="s">
        <v>109</v>
      </c>
      <c r="C1" t="s">
        <v>110</v>
      </c>
      <c r="D1" t="s">
        <v>10</v>
      </c>
      <c r="E1" t="s">
        <v>11</v>
      </c>
      <c r="F1" t="s">
        <v>116</v>
      </c>
      <c r="G1" t="s">
        <v>6</v>
      </c>
      <c r="H1" t="s">
        <v>7</v>
      </c>
      <c r="I1" t="s">
        <v>8</v>
      </c>
      <c r="J1" t="s">
        <v>4</v>
      </c>
      <c r="K1" t="s">
        <v>111</v>
      </c>
      <c r="L1" t="s">
        <v>112</v>
      </c>
      <c r="M1" t="s">
        <v>91</v>
      </c>
    </row>
    <row r="2" spans="1:13" x14ac:dyDescent="0.25">
      <c r="A2" t="s">
        <v>113</v>
      </c>
      <c r="B2" s="3">
        <v>45848</v>
      </c>
      <c r="C2" t="s">
        <v>23</v>
      </c>
      <c r="D2">
        <v>204</v>
      </c>
      <c r="E2">
        <v>20223711279</v>
      </c>
      <c r="F2" t="s">
        <v>21</v>
      </c>
      <c r="G2" s="16">
        <v>13400.78</v>
      </c>
      <c r="H2" s="16">
        <v>2814.16</v>
      </c>
      <c r="I2" s="16">
        <v>0</v>
      </c>
      <c r="J2" s="16">
        <v>16214.94</v>
      </c>
      <c r="K2" t="s">
        <v>114</v>
      </c>
      <c r="L2" t="s">
        <v>19</v>
      </c>
      <c r="M2" t="s">
        <v>94</v>
      </c>
    </row>
    <row r="3" spans="1:13" x14ac:dyDescent="0.25">
      <c r="A3" t="s">
        <v>113</v>
      </c>
      <c r="B3" s="3">
        <v>45845</v>
      </c>
      <c r="C3" t="s">
        <v>23</v>
      </c>
      <c r="D3">
        <v>123</v>
      </c>
      <c r="E3">
        <v>20223711279</v>
      </c>
      <c r="F3" t="s">
        <v>21</v>
      </c>
      <c r="G3" s="16">
        <v>74192.33</v>
      </c>
      <c r="H3" s="16">
        <v>15580.39</v>
      </c>
      <c r="I3" s="16">
        <v>0</v>
      </c>
      <c r="J3" s="16">
        <v>89772.72</v>
      </c>
      <c r="K3" t="s">
        <v>114</v>
      </c>
      <c r="L3" t="s">
        <v>19</v>
      </c>
      <c r="M3" t="s">
        <v>94</v>
      </c>
    </row>
    <row r="4" spans="1:13" x14ac:dyDescent="0.25">
      <c r="A4" t="s">
        <v>113</v>
      </c>
      <c r="B4" s="3">
        <v>45848</v>
      </c>
      <c r="C4" t="s">
        <v>23</v>
      </c>
      <c r="D4">
        <v>14</v>
      </c>
      <c r="E4">
        <v>20223711279</v>
      </c>
      <c r="F4" t="s">
        <v>21</v>
      </c>
      <c r="G4" s="16">
        <v>13547.51</v>
      </c>
      <c r="H4" s="16">
        <v>0</v>
      </c>
      <c r="I4" s="16">
        <v>1422.49</v>
      </c>
      <c r="J4" s="16">
        <v>14970</v>
      </c>
      <c r="K4" t="s">
        <v>35</v>
      </c>
      <c r="L4" t="s">
        <v>27</v>
      </c>
      <c r="M4" t="s">
        <v>94</v>
      </c>
    </row>
    <row r="5" spans="1:13" x14ac:dyDescent="0.25">
      <c r="A5" t="s">
        <v>113</v>
      </c>
      <c r="B5" s="3">
        <v>45845</v>
      </c>
      <c r="C5" t="s">
        <v>23</v>
      </c>
      <c r="D5">
        <v>7</v>
      </c>
      <c r="E5">
        <v>27306638691</v>
      </c>
      <c r="F5" t="s">
        <v>28</v>
      </c>
      <c r="G5" s="16">
        <v>39917.360000000001</v>
      </c>
      <c r="H5" s="16">
        <v>8382.64</v>
      </c>
      <c r="I5" s="16">
        <v>0</v>
      </c>
      <c r="J5" s="16">
        <v>48300</v>
      </c>
      <c r="K5" t="s">
        <v>35</v>
      </c>
      <c r="L5" t="s">
        <v>27</v>
      </c>
      <c r="M5" t="s">
        <v>94</v>
      </c>
    </row>
    <row r="6" spans="1:13" x14ac:dyDescent="0.25">
      <c r="A6" t="s">
        <v>113</v>
      </c>
      <c r="B6" s="3">
        <v>45849</v>
      </c>
      <c r="C6" t="s">
        <v>23</v>
      </c>
      <c r="D6">
        <v>256</v>
      </c>
      <c r="E6">
        <v>27306638691</v>
      </c>
      <c r="F6" t="s">
        <v>28</v>
      </c>
      <c r="G6" s="16">
        <v>17851.240000000002</v>
      </c>
      <c r="H6" s="16">
        <v>3748.76</v>
      </c>
      <c r="I6" s="16">
        <v>0</v>
      </c>
      <c r="J6" s="16">
        <v>21600</v>
      </c>
      <c r="K6" t="s">
        <v>114</v>
      </c>
      <c r="L6" t="s">
        <v>19</v>
      </c>
      <c r="M6" t="s">
        <v>94</v>
      </c>
    </row>
    <row r="7" spans="1:13" x14ac:dyDescent="0.25">
      <c r="A7" t="s">
        <v>113</v>
      </c>
      <c r="B7" s="3">
        <v>45840</v>
      </c>
      <c r="C7" t="s">
        <v>23</v>
      </c>
      <c r="D7">
        <v>504</v>
      </c>
      <c r="E7">
        <v>30707262075</v>
      </c>
      <c r="F7" t="s">
        <v>31</v>
      </c>
      <c r="G7" s="16">
        <v>62116</v>
      </c>
      <c r="H7" s="16">
        <v>13044.36</v>
      </c>
      <c r="I7" s="16">
        <v>0</v>
      </c>
      <c r="J7" s="16">
        <v>75160.36</v>
      </c>
      <c r="K7" t="s">
        <v>114</v>
      </c>
      <c r="L7" t="s">
        <v>19</v>
      </c>
      <c r="M7" t="s">
        <v>94</v>
      </c>
    </row>
    <row r="8" spans="1:13" x14ac:dyDescent="0.25">
      <c r="A8" t="s">
        <v>113</v>
      </c>
      <c r="B8" s="3">
        <v>45868</v>
      </c>
      <c r="C8" t="s">
        <v>23</v>
      </c>
      <c r="D8">
        <v>585</v>
      </c>
      <c r="E8">
        <v>30708602309</v>
      </c>
      <c r="F8" t="s">
        <v>38</v>
      </c>
      <c r="G8" s="16">
        <v>728530</v>
      </c>
      <c r="H8" s="16">
        <v>0</v>
      </c>
      <c r="I8" s="16">
        <v>76495.649999999994</v>
      </c>
      <c r="J8" s="16">
        <v>805025.65</v>
      </c>
      <c r="K8" t="s">
        <v>114</v>
      </c>
      <c r="L8" t="s">
        <v>19</v>
      </c>
      <c r="M8" t="s">
        <v>93</v>
      </c>
    </row>
    <row r="9" spans="1:13" x14ac:dyDescent="0.25">
      <c r="A9" t="s">
        <v>113</v>
      </c>
      <c r="B9" s="3">
        <v>45868</v>
      </c>
      <c r="C9" t="s">
        <v>23</v>
      </c>
      <c r="D9">
        <v>687</v>
      </c>
      <c r="E9">
        <v>20223711279</v>
      </c>
      <c r="F9" t="s">
        <v>21</v>
      </c>
      <c r="G9" s="16">
        <v>39596.31</v>
      </c>
      <c r="H9" s="16">
        <v>0</v>
      </c>
      <c r="I9" s="16">
        <v>4157.6099999999997</v>
      </c>
      <c r="J9" s="16">
        <v>43753.919999999998</v>
      </c>
      <c r="K9" t="s">
        <v>114</v>
      </c>
      <c r="L9" t="s">
        <v>19</v>
      </c>
      <c r="M9" t="s">
        <v>93</v>
      </c>
    </row>
    <row r="10" spans="1:13" x14ac:dyDescent="0.25">
      <c r="A10" t="s">
        <v>115</v>
      </c>
      <c r="B10" s="3">
        <v>45849</v>
      </c>
      <c r="C10" t="s">
        <v>23</v>
      </c>
      <c r="D10">
        <v>2</v>
      </c>
      <c r="E10">
        <v>30716843374</v>
      </c>
      <c r="F10" t="s">
        <v>47</v>
      </c>
      <c r="G10" s="16">
        <v>168792.07</v>
      </c>
      <c r="H10" s="16">
        <v>35446.33</v>
      </c>
      <c r="I10" s="16">
        <v>0</v>
      </c>
      <c r="J10" s="16">
        <v>204238.4</v>
      </c>
      <c r="K10" t="s">
        <v>114</v>
      </c>
      <c r="L10" t="s">
        <v>19</v>
      </c>
      <c r="M10" t="s">
        <v>94</v>
      </c>
    </row>
    <row r="11" spans="1:13" x14ac:dyDescent="0.25">
      <c r="A11" t="s">
        <v>115</v>
      </c>
      <c r="B11" s="3">
        <v>45845</v>
      </c>
      <c r="C11" t="s">
        <v>23</v>
      </c>
      <c r="D11">
        <v>1</v>
      </c>
      <c r="E11">
        <v>30668346908</v>
      </c>
      <c r="F11" t="s">
        <v>49</v>
      </c>
      <c r="G11" s="16">
        <v>26300</v>
      </c>
      <c r="H11" s="16">
        <v>5523</v>
      </c>
      <c r="I11" s="16">
        <v>0</v>
      </c>
      <c r="J11" s="16">
        <v>31823</v>
      </c>
      <c r="K11" t="s">
        <v>114</v>
      </c>
      <c r="L11" t="s">
        <v>19</v>
      </c>
      <c r="M11" t="s">
        <v>94</v>
      </c>
    </row>
    <row r="12" spans="1:13" x14ac:dyDescent="0.25">
      <c r="A12" t="s">
        <v>115</v>
      </c>
      <c r="B12" s="3">
        <v>45845</v>
      </c>
      <c r="C12" t="s">
        <v>119</v>
      </c>
      <c r="D12">
        <v>2</v>
      </c>
      <c r="E12">
        <v>33609754309</v>
      </c>
      <c r="F12" t="s">
        <v>51</v>
      </c>
      <c r="G12" s="16">
        <v>110707.15</v>
      </c>
      <c r="H12" s="16">
        <v>23248.5</v>
      </c>
      <c r="I12" s="16">
        <v>0</v>
      </c>
      <c r="J12" s="16">
        <v>133955.65</v>
      </c>
      <c r="K12" t="s">
        <v>114</v>
      </c>
      <c r="L12" t="s">
        <v>19</v>
      </c>
      <c r="M12" t="s">
        <v>94</v>
      </c>
    </row>
    <row r="13" spans="1:13" x14ac:dyDescent="0.25">
      <c r="A13" t="s">
        <v>115</v>
      </c>
      <c r="B13" s="3">
        <v>45849</v>
      </c>
      <c r="C13" t="s">
        <v>119</v>
      </c>
      <c r="D13">
        <v>4</v>
      </c>
      <c r="E13">
        <v>33609754309</v>
      </c>
      <c r="F13" t="s">
        <v>51</v>
      </c>
      <c r="G13" s="16">
        <v>66115.7</v>
      </c>
      <c r="H13" s="16">
        <v>13884.3</v>
      </c>
      <c r="I13" s="16">
        <v>0</v>
      </c>
      <c r="J13" s="16">
        <v>80000</v>
      </c>
      <c r="K13" t="s">
        <v>114</v>
      </c>
      <c r="L13" t="s">
        <v>19</v>
      </c>
      <c r="M13" t="s">
        <v>94</v>
      </c>
    </row>
    <row r="14" spans="1:13" x14ac:dyDescent="0.25">
      <c r="A14" t="s">
        <v>115</v>
      </c>
      <c r="B14" s="3">
        <v>45849</v>
      </c>
      <c r="C14" t="s">
        <v>119</v>
      </c>
      <c r="D14">
        <v>5</v>
      </c>
      <c r="E14">
        <v>33609754309</v>
      </c>
      <c r="F14" t="s">
        <v>51</v>
      </c>
      <c r="G14" s="16">
        <v>53719.01</v>
      </c>
      <c r="H14" s="16">
        <v>11280.99</v>
      </c>
      <c r="I14" s="16">
        <v>0</v>
      </c>
      <c r="J14" s="16">
        <v>65000</v>
      </c>
      <c r="K14" t="s">
        <v>114</v>
      </c>
      <c r="L14" t="s">
        <v>19</v>
      </c>
      <c r="M14" t="s">
        <v>94</v>
      </c>
    </row>
    <row r="15" spans="1:13" x14ac:dyDescent="0.25">
      <c r="A15" t="s">
        <v>115</v>
      </c>
      <c r="B15" s="3">
        <v>45839</v>
      </c>
      <c r="C15" t="s">
        <v>119</v>
      </c>
      <c r="D15">
        <v>1</v>
      </c>
      <c r="E15">
        <v>33609754309</v>
      </c>
      <c r="F15" t="s">
        <v>51</v>
      </c>
      <c r="G15" s="16">
        <v>80455.11</v>
      </c>
      <c r="H15" s="16">
        <v>16895.57</v>
      </c>
      <c r="I15" s="16">
        <v>0</v>
      </c>
      <c r="J15" s="16">
        <v>97350.68</v>
      </c>
      <c r="K15" t="s">
        <v>114</v>
      </c>
      <c r="L15" t="s">
        <v>19</v>
      </c>
      <c r="M15" t="s">
        <v>94</v>
      </c>
    </row>
    <row r="16" spans="1:13" x14ac:dyDescent="0.25">
      <c r="A16" t="s">
        <v>115</v>
      </c>
      <c r="B16" s="3">
        <v>45868</v>
      </c>
      <c r="C16" t="s">
        <v>23</v>
      </c>
      <c r="D16">
        <v>7</v>
      </c>
      <c r="E16">
        <v>30562828474</v>
      </c>
      <c r="F16" t="s">
        <v>56</v>
      </c>
      <c r="G16" s="16">
        <v>115239.9</v>
      </c>
      <c r="H16" s="16">
        <v>24200.38</v>
      </c>
      <c r="I16" s="16">
        <v>0</v>
      </c>
      <c r="J16" s="16">
        <v>139440.28</v>
      </c>
      <c r="K16" t="s">
        <v>114</v>
      </c>
      <c r="L16" t="s">
        <v>19</v>
      </c>
      <c r="M16" t="s">
        <v>94</v>
      </c>
    </row>
    <row r="17" spans="1:13" x14ac:dyDescent="0.25">
      <c r="A17" t="s">
        <v>115</v>
      </c>
      <c r="B17" s="3">
        <v>45868</v>
      </c>
      <c r="C17" t="s">
        <v>23</v>
      </c>
      <c r="D17">
        <v>3</v>
      </c>
      <c r="E17">
        <v>30707731407</v>
      </c>
      <c r="F17" t="s">
        <v>58</v>
      </c>
      <c r="G17" s="16">
        <v>141073</v>
      </c>
      <c r="H17" s="16">
        <v>0</v>
      </c>
      <c r="I17" s="16">
        <v>14812.66</v>
      </c>
      <c r="J17" s="16">
        <v>155885.66</v>
      </c>
      <c r="K17" t="s">
        <v>114</v>
      </c>
      <c r="L17" t="s">
        <v>19</v>
      </c>
      <c r="M17" t="s">
        <v>94</v>
      </c>
    </row>
    <row r="18" spans="1:13" x14ac:dyDescent="0.25">
      <c r="A18" t="s">
        <v>115</v>
      </c>
      <c r="B18" s="3">
        <v>45868</v>
      </c>
      <c r="C18" t="s">
        <v>23</v>
      </c>
      <c r="D18">
        <v>4</v>
      </c>
      <c r="E18">
        <v>30668346908</v>
      </c>
      <c r="F18" t="s">
        <v>49</v>
      </c>
      <c r="G18" s="16">
        <v>352482.33</v>
      </c>
      <c r="H18" s="16">
        <v>0</v>
      </c>
      <c r="I18" s="16">
        <v>37010.639999999999</v>
      </c>
      <c r="J18" s="16">
        <v>389492.97</v>
      </c>
      <c r="K18" t="s">
        <v>114</v>
      </c>
      <c r="L18" t="s">
        <v>19</v>
      </c>
      <c r="M18" t="s">
        <v>94</v>
      </c>
    </row>
    <row r="19" spans="1:13" x14ac:dyDescent="0.25">
      <c r="A19" t="s">
        <v>115</v>
      </c>
      <c r="B19" s="3">
        <v>45868</v>
      </c>
      <c r="C19" t="s">
        <v>119</v>
      </c>
      <c r="D19">
        <v>6</v>
      </c>
      <c r="E19">
        <v>33609754309</v>
      </c>
      <c r="F19" t="s">
        <v>59</v>
      </c>
      <c r="G19" s="16">
        <v>556049.77</v>
      </c>
      <c r="H19" s="16">
        <v>0</v>
      </c>
      <c r="I19" s="16">
        <v>58385.23</v>
      </c>
      <c r="J19" s="16">
        <v>614435</v>
      </c>
      <c r="K19" t="s">
        <v>35</v>
      </c>
      <c r="M19" t="s">
        <v>94</v>
      </c>
    </row>
    <row r="20" spans="1:13" x14ac:dyDescent="0.25">
      <c r="A20" t="s">
        <v>115</v>
      </c>
      <c r="B20" s="3">
        <v>45868</v>
      </c>
      <c r="C20" t="s">
        <v>23</v>
      </c>
      <c r="D20">
        <v>6</v>
      </c>
      <c r="E20">
        <v>30716843374</v>
      </c>
      <c r="F20" t="s">
        <v>60</v>
      </c>
      <c r="G20" s="16">
        <v>784350</v>
      </c>
      <c r="H20" s="16">
        <v>0</v>
      </c>
      <c r="I20" s="16">
        <v>82356.75</v>
      </c>
      <c r="J20" s="16">
        <v>866706.75</v>
      </c>
      <c r="K20" t="s">
        <v>114</v>
      </c>
      <c r="L20" t="s">
        <v>19</v>
      </c>
      <c r="M20" t="s">
        <v>93</v>
      </c>
    </row>
    <row r="21" spans="1:13" x14ac:dyDescent="0.25">
      <c r="A21" t="s">
        <v>115</v>
      </c>
      <c r="B21" s="3">
        <v>45868</v>
      </c>
      <c r="C21" t="s">
        <v>23</v>
      </c>
      <c r="D21">
        <v>5</v>
      </c>
      <c r="E21">
        <v>30600149330</v>
      </c>
      <c r="F21" t="s">
        <v>62</v>
      </c>
      <c r="G21" s="16">
        <v>59394.46</v>
      </c>
      <c r="H21" s="16">
        <v>0</v>
      </c>
      <c r="I21" s="16">
        <v>6236.42</v>
      </c>
      <c r="J21" s="16">
        <v>65630.880000000005</v>
      </c>
      <c r="K21" t="s">
        <v>35</v>
      </c>
      <c r="M21" t="s">
        <v>93</v>
      </c>
    </row>
    <row r="22" spans="1:13" x14ac:dyDescent="0.25">
      <c r="A22" t="s">
        <v>115</v>
      </c>
      <c r="B22" s="3">
        <v>45868</v>
      </c>
      <c r="C22" t="s">
        <v>119</v>
      </c>
      <c r="D22">
        <v>8</v>
      </c>
      <c r="E22">
        <v>30562828474</v>
      </c>
      <c r="F22" t="s">
        <v>63</v>
      </c>
      <c r="G22" s="16">
        <v>88650</v>
      </c>
      <c r="H22" s="16">
        <v>18616.5</v>
      </c>
      <c r="I22" s="16">
        <v>0</v>
      </c>
      <c r="J22" s="16">
        <v>107266.5</v>
      </c>
      <c r="K22" t="s">
        <v>114</v>
      </c>
      <c r="L22" t="s">
        <v>19</v>
      </c>
      <c r="M22" t="s">
        <v>93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F6181-781F-47C0-8517-125B98C085A6}">
  <sheetPr codeName="Hoja13"/>
  <dimension ref="A1:G3"/>
  <sheetViews>
    <sheetView workbookViewId="0">
      <selection activeCell="E8" sqref="E8"/>
    </sheetView>
  </sheetViews>
  <sheetFormatPr baseColWidth="10" defaultRowHeight="15" x14ac:dyDescent="0.25"/>
  <cols>
    <col min="2" max="2" width="16.5703125" customWidth="1"/>
    <col min="3" max="3" width="17" style="18" bestFit="1" customWidth="1"/>
    <col min="4" max="5" width="11.140625" style="18" bestFit="1" customWidth="1"/>
    <col min="6" max="6" width="18" style="18" bestFit="1" customWidth="1"/>
    <col min="7" max="7" width="20.140625" style="18" bestFit="1" customWidth="1"/>
  </cols>
  <sheetData>
    <row r="1" spans="1:7" x14ac:dyDescent="0.25">
      <c r="A1" t="s">
        <v>67</v>
      </c>
      <c r="B1" t="s">
        <v>108</v>
      </c>
      <c r="C1" s="18" t="s">
        <v>6</v>
      </c>
      <c r="D1" s="18" t="s">
        <v>7</v>
      </c>
      <c r="E1" s="18" t="s">
        <v>8</v>
      </c>
      <c r="F1" s="18" t="s">
        <v>4</v>
      </c>
      <c r="G1" s="18" t="s">
        <v>117</v>
      </c>
    </row>
    <row r="2" spans="1:7" x14ac:dyDescent="0.25">
      <c r="A2" t="s">
        <v>79</v>
      </c>
      <c r="B2" t="s">
        <v>113</v>
      </c>
      <c r="C2" s="18">
        <v>2117349</v>
      </c>
      <c r="D2" s="18">
        <v>43568</v>
      </c>
      <c r="E2" s="18">
        <v>82074</v>
      </c>
      <c r="F2" s="18">
        <v>2242994</v>
      </c>
      <c r="G2" s="18">
        <v>125642</v>
      </c>
    </row>
    <row r="3" spans="1:7" x14ac:dyDescent="0.25">
      <c r="A3" t="s">
        <v>79</v>
      </c>
      <c r="B3" t="s">
        <v>115</v>
      </c>
      <c r="C3" s="18">
        <v>2603324</v>
      </c>
      <c r="D3" s="18">
        <v>149092</v>
      </c>
      <c r="E3" s="18">
        <v>198799</v>
      </c>
      <c r="F3" s="18">
        <v>2951220</v>
      </c>
      <c r="G3" s="18">
        <v>347891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S3"/>
  <sheetViews>
    <sheetView workbookViewId="0">
      <selection activeCell="C23" sqref="C23"/>
    </sheetView>
  </sheetViews>
  <sheetFormatPr baseColWidth="10" defaultColWidth="9.140625" defaultRowHeight="15" x14ac:dyDescent="0.25"/>
  <cols>
    <col min="1" max="1" width="27.85546875" bestFit="1" customWidth="1"/>
    <col min="2" max="2" width="33.28515625" bestFit="1" customWidth="1"/>
    <col min="3" max="3" width="22" customWidth="1"/>
    <col min="4" max="4" width="11.42578125" customWidth="1"/>
    <col min="5" max="5" width="17.85546875" customWidth="1"/>
    <col min="6" max="6" width="11" bestFit="1" customWidth="1"/>
    <col min="7" max="7" width="16.85546875" customWidth="1"/>
    <col min="8" max="8" width="9.28515625" customWidth="1"/>
    <col min="9" max="9" width="12.140625" bestFit="1" customWidth="1"/>
    <col min="10" max="10" width="16.42578125" customWidth="1"/>
    <col min="11" max="11" width="14.28515625" customWidth="1"/>
    <col min="12" max="12" width="18.140625" bestFit="1" customWidth="1"/>
    <col min="13" max="13" width="10.85546875" customWidth="1"/>
    <col min="14" max="14" width="11.140625" bestFit="1" customWidth="1"/>
    <col min="15" max="15" width="13.28515625" customWidth="1"/>
    <col min="16" max="16" width="7.28515625" customWidth="1"/>
    <col min="17" max="17" width="19.42578125" customWidth="1"/>
    <col min="18" max="18" width="23.28515625" customWidth="1"/>
    <col min="19" max="19" width="9.85546875" customWidth="1"/>
  </cols>
  <sheetData>
    <row r="1" spans="1:19" x14ac:dyDescent="0.25">
      <c r="A1" s="6" t="s">
        <v>42</v>
      </c>
      <c r="B1" s="6" t="s">
        <v>1</v>
      </c>
      <c r="C1" s="6" t="s">
        <v>43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10</v>
      </c>
      <c r="K1" s="6" t="s">
        <v>44</v>
      </c>
      <c r="L1" s="6" t="s">
        <v>12</v>
      </c>
      <c r="M1" s="6" t="s">
        <v>45</v>
      </c>
      <c r="N1" s="6" t="s">
        <v>14</v>
      </c>
      <c r="O1" s="6" t="s">
        <v>46</v>
      </c>
      <c r="P1" s="6" t="s">
        <v>80</v>
      </c>
      <c r="Q1" s="6" t="s">
        <v>81</v>
      </c>
      <c r="R1" s="6" t="s">
        <v>82</v>
      </c>
      <c r="S1" s="6" t="s">
        <v>83</v>
      </c>
    </row>
    <row r="2" spans="1:19" x14ac:dyDescent="0.25">
      <c r="A2" t="s">
        <v>59</v>
      </c>
      <c r="B2" t="s">
        <v>37</v>
      </c>
      <c r="C2" s="2">
        <v>434.4138857466063</v>
      </c>
      <c r="D2">
        <v>10.5</v>
      </c>
      <c r="E2" s="2">
        <v>614435</v>
      </c>
      <c r="F2" s="2">
        <v>1280</v>
      </c>
      <c r="G2" s="2">
        <v>556049.77375565609</v>
      </c>
      <c r="H2" s="2">
        <v>0</v>
      </c>
      <c r="I2" s="2">
        <v>58385.22624434391</v>
      </c>
      <c r="J2" s="2">
        <v>6</v>
      </c>
      <c r="K2">
        <v>33609754309</v>
      </c>
      <c r="L2" s="12">
        <v>45868</v>
      </c>
      <c r="N2" t="s">
        <v>35</v>
      </c>
      <c r="O2" s="2">
        <v>58385.22624434391</v>
      </c>
      <c r="P2">
        <v>13</v>
      </c>
      <c r="Q2" s="2">
        <v>556049.77375565609</v>
      </c>
      <c r="R2" s="2">
        <v>614435</v>
      </c>
      <c r="S2" t="s">
        <v>84</v>
      </c>
    </row>
    <row r="3" spans="1:19" x14ac:dyDescent="0.25">
      <c r="A3" t="s">
        <v>62</v>
      </c>
      <c r="B3" t="s">
        <v>40</v>
      </c>
      <c r="C3" s="2">
        <v>43.99589743589744</v>
      </c>
      <c r="D3">
        <v>10.5</v>
      </c>
      <c r="E3" s="2">
        <v>65630.880000000005</v>
      </c>
      <c r="F3" s="2">
        <v>1350</v>
      </c>
      <c r="G3" s="2">
        <v>59394.461538461554</v>
      </c>
      <c r="H3" s="2">
        <v>0</v>
      </c>
      <c r="I3" s="2">
        <v>6236.4184615384584</v>
      </c>
      <c r="J3" s="2">
        <v>5</v>
      </c>
      <c r="K3">
        <v>30600149330</v>
      </c>
      <c r="L3" s="12">
        <v>45755</v>
      </c>
      <c r="N3" t="s">
        <v>35</v>
      </c>
      <c r="O3" s="2">
        <v>6236.4184615384584</v>
      </c>
      <c r="P3">
        <v>126</v>
      </c>
      <c r="Q3" s="2">
        <v>59394.461538461554</v>
      </c>
      <c r="R3" s="2">
        <v>65630.880000000005</v>
      </c>
      <c r="S3" t="s">
        <v>85</v>
      </c>
    </row>
  </sheetData>
  <conditionalFormatting sqref="A2:S3">
    <cfRule type="expression" dxfId="13" priority="1" stopIfTrue="1">
      <formula>N2="ADEUDADO"</formula>
    </cfRule>
  </conditionalFormatting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B6"/>
  <sheetViews>
    <sheetView workbookViewId="0">
      <selection sqref="A1:B5"/>
    </sheetView>
  </sheetViews>
  <sheetFormatPr baseColWidth="10" defaultColWidth="9.140625" defaultRowHeight="15" x14ac:dyDescent="0.25"/>
  <cols>
    <col min="1" max="1" width="9.85546875" customWidth="1"/>
    <col min="2" max="2" width="19.42578125" customWidth="1"/>
  </cols>
  <sheetData>
    <row r="1" spans="1:2" x14ac:dyDescent="0.25">
      <c r="A1" s="6" t="s">
        <v>83</v>
      </c>
      <c r="B1" s="6" t="s">
        <v>81</v>
      </c>
    </row>
    <row r="2" spans="1:2" x14ac:dyDescent="0.25">
      <c r="A2" t="s">
        <v>84</v>
      </c>
      <c r="B2" s="2">
        <v>556049.77375565609</v>
      </c>
    </row>
    <row r="3" spans="1:2" x14ac:dyDescent="0.25">
      <c r="A3" t="s">
        <v>86</v>
      </c>
      <c r="B3" s="2">
        <v>0</v>
      </c>
    </row>
    <row r="4" spans="1:2" x14ac:dyDescent="0.25">
      <c r="A4" t="s">
        <v>87</v>
      </c>
      <c r="B4" s="2">
        <v>0</v>
      </c>
    </row>
    <row r="5" spans="1:2" x14ac:dyDescent="0.25">
      <c r="A5" t="s">
        <v>85</v>
      </c>
      <c r="B5" s="2">
        <v>59394.461538461554</v>
      </c>
    </row>
    <row r="6" spans="1:2" x14ac:dyDescent="0.25">
      <c r="B6" s="2"/>
    </row>
  </sheetData>
  <pageMargins left="0.75" right="0.75" top="1" bottom="1" header="0.5" footer="0.5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T4"/>
  <sheetViews>
    <sheetView workbookViewId="0">
      <selection activeCell="E13" sqref="E13"/>
    </sheetView>
  </sheetViews>
  <sheetFormatPr baseColWidth="10" defaultColWidth="9.140625" defaultRowHeight="15" x14ac:dyDescent="0.25"/>
  <cols>
    <col min="1" max="1" width="14" customWidth="1"/>
    <col min="2" max="2" width="42.7109375" bestFit="1" customWidth="1"/>
    <col min="3" max="3" width="22" customWidth="1"/>
    <col min="4" max="4" width="11.42578125" customWidth="1"/>
    <col min="5" max="5" width="17.85546875" customWidth="1"/>
    <col min="6" max="6" width="9.140625" customWidth="1"/>
    <col min="7" max="7" width="16.85546875" customWidth="1"/>
    <col min="8" max="8" width="9.28515625" customWidth="1"/>
    <col min="9" max="9" width="10.28515625" customWidth="1"/>
    <col min="11" max="11" width="16.42578125" customWidth="1"/>
    <col min="13" max="13" width="18.140625" bestFit="1" customWidth="1"/>
    <col min="14" max="14" width="10.140625" customWidth="1"/>
    <col min="15" max="15" width="11.140625" bestFit="1" customWidth="1"/>
    <col min="16" max="16" width="15.28515625" customWidth="1"/>
    <col min="17" max="17" width="7.28515625" customWidth="1"/>
    <col min="18" max="18" width="19.42578125" customWidth="1"/>
    <col min="19" max="19" width="23.28515625" customWidth="1"/>
    <col min="20" max="20" width="9.85546875" customWidth="1"/>
  </cols>
  <sheetData>
    <row r="1" spans="1:20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80</v>
      </c>
      <c r="R1" s="6" t="s">
        <v>81</v>
      </c>
      <c r="S1" s="6" t="s">
        <v>82</v>
      </c>
      <c r="T1" s="6" t="s">
        <v>83</v>
      </c>
    </row>
    <row r="2" spans="1:20" x14ac:dyDescent="0.25">
      <c r="A2" t="s">
        <v>33</v>
      </c>
      <c r="B2" t="s">
        <v>34</v>
      </c>
      <c r="C2" s="2">
        <v>95</v>
      </c>
      <c r="D2">
        <v>0</v>
      </c>
      <c r="E2" s="2">
        <v>121600</v>
      </c>
      <c r="F2">
        <v>1280</v>
      </c>
      <c r="G2" s="2">
        <v>121600</v>
      </c>
      <c r="H2" s="2">
        <v>0</v>
      </c>
      <c r="I2" s="2">
        <v>0</v>
      </c>
      <c r="J2" t="s">
        <v>18</v>
      </c>
      <c r="M2" s="1">
        <v>45868</v>
      </c>
      <c r="O2" t="s">
        <v>35</v>
      </c>
      <c r="P2">
        <v>0</v>
      </c>
      <c r="Q2">
        <v>13</v>
      </c>
      <c r="R2" s="2">
        <v>121600</v>
      </c>
      <c r="S2" s="2">
        <v>121600</v>
      </c>
      <c r="T2" t="s">
        <v>84</v>
      </c>
    </row>
    <row r="3" spans="1:20" x14ac:dyDescent="0.25">
      <c r="A3" t="s">
        <v>33</v>
      </c>
      <c r="B3" t="s">
        <v>36</v>
      </c>
      <c r="C3" s="2">
        <v>240</v>
      </c>
      <c r="D3">
        <v>0</v>
      </c>
      <c r="E3" s="2">
        <v>307200</v>
      </c>
      <c r="F3">
        <v>1280</v>
      </c>
      <c r="G3" s="2">
        <v>307200</v>
      </c>
      <c r="H3" s="2">
        <v>0</v>
      </c>
      <c r="I3" s="2">
        <v>0</v>
      </c>
      <c r="J3" t="s">
        <v>18</v>
      </c>
      <c r="M3" s="1">
        <v>45868</v>
      </c>
      <c r="O3" t="s">
        <v>35</v>
      </c>
      <c r="P3">
        <v>0</v>
      </c>
      <c r="Q3">
        <v>13</v>
      </c>
      <c r="R3" s="2">
        <v>307200</v>
      </c>
      <c r="S3" s="2">
        <v>307200</v>
      </c>
      <c r="T3" t="s">
        <v>84</v>
      </c>
    </row>
    <row r="4" spans="1:20" x14ac:dyDescent="0.25">
      <c r="A4" t="s">
        <v>33</v>
      </c>
      <c r="B4" t="s">
        <v>37</v>
      </c>
      <c r="C4" s="2">
        <v>370</v>
      </c>
      <c r="D4">
        <v>0</v>
      </c>
      <c r="E4" s="2">
        <v>473600</v>
      </c>
      <c r="F4">
        <v>1280</v>
      </c>
      <c r="G4" s="2">
        <v>473600</v>
      </c>
      <c r="H4" s="2">
        <v>0</v>
      </c>
      <c r="I4" s="2">
        <v>0</v>
      </c>
      <c r="J4" t="s">
        <v>18</v>
      </c>
      <c r="M4" s="1">
        <v>45868</v>
      </c>
      <c r="O4" t="s">
        <v>35</v>
      </c>
      <c r="P4">
        <v>0</v>
      </c>
      <c r="Q4">
        <v>13</v>
      </c>
      <c r="R4" s="2">
        <v>473600</v>
      </c>
      <c r="S4" s="2">
        <v>473600</v>
      </c>
      <c r="T4" t="s">
        <v>84</v>
      </c>
    </row>
  </sheetData>
  <conditionalFormatting sqref="A2:T4">
    <cfRule type="expression" dxfId="12" priority="1" stopIfTrue="1">
      <formula>O2="ADEUDADO"</formula>
    </cfRule>
  </conditionalFormatting>
  <pageMargins left="0.75" right="0.75" top="1" bottom="1" header="0.5" footer="0.5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5"/>
  <sheetViews>
    <sheetView workbookViewId="0">
      <selection activeCell="C6" sqref="C6"/>
    </sheetView>
  </sheetViews>
  <sheetFormatPr baseColWidth="10" defaultColWidth="9.140625" defaultRowHeight="15" x14ac:dyDescent="0.25"/>
  <cols>
    <col min="1" max="1" width="9.85546875" customWidth="1"/>
    <col min="2" max="2" width="19.42578125" customWidth="1"/>
  </cols>
  <sheetData>
    <row r="1" spans="1:2" x14ac:dyDescent="0.25">
      <c r="A1" s="6" t="s">
        <v>83</v>
      </c>
      <c r="B1" s="6" t="s">
        <v>81</v>
      </c>
    </row>
    <row r="2" spans="1:2" x14ac:dyDescent="0.25">
      <c r="A2" t="s">
        <v>84</v>
      </c>
      <c r="B2">
        <v>902400</v>
      </c>
    </row>
    <row r="3" spans="1:2" x14ac:dyDescent="0.25">
      <c r="A3" t="s">
        <v>86</v>
      </c>
      <c r="B3">
        <v>0</v>
      </c>
    </row>
    <row r="4" spans="1:2" x14ac:dyDescent="0.25">
      <c r="A4" t="s">
        <v>87</v>
      </c>
      <c r="B4">
        <v>0</v>
      </c>
    </row>
    <row r="5" spans="1:2" x14ac:dyDescent="0.25">
      <c r="A5" t="s">
        <v>85</v>
      </c>
      <c r="B5">
        <v>0</v>
      </c>
    </row>
  </sheetData>
  <pageMargins left="0.75" right="0.75" top="1" bottom="1" header="0.5" footer="0.5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4"/>
  <sheetViews>
    <sheetView workbookViewId="0">
      <selection activeCell="B5" sqref="B5"/>
    </sheetView>
  </sheetViews>
  <sheetFormatPr baseColWidth="10" defaultColWidth="9.140625" defaultRowHeight="15" x14ac:dyDescent="0.25"/>
  <cols>
    <col min="1" max="1" width="21.85546875" bestFit="1" customWidth="1"/>
    <col min="2" max="2" width="10" customWidth="1"/>
  </cols>
  <sheetData>
    <row r="1" spans="1:2" x14ac:dyDescent="0.25">
      <c r="A1" s="6" t="s">
        <v>88</v>
      </c>
      <c r="B1" s="6" t="s">
        <v>89</v>
      </c>
    </row>
    <row r="2" spans="1:2" x14ac:dyDescent="0.25">
      <c r="A2" t="s">
        <v>105</v>
      </c>
      <c r="B2">
        <v>0.53</v>
      </c>
    </row>
    <row r="3" spans="1:2" x14ac:dyDescent="0.25">
      <c r="A3" t="s">
        <v>106</v>
      </c>
      <c r="B3">
        <v>0.2</v>
      </c>
    </row>
    <row r="4" spans="1:2" x14ac:dyDescent="0.25">
      <c r="A4" t="s">
        <v>107</v>
      </c>
      <c r="B4">
        <v>0.09</v>
      </c>
    </row>
  </sheetData>
  <pageMargins left="0.75" right="0.75" top="1" bottom="1" header="0.5" footer="0.5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0EC7C-DA27-41DD-ADBA-973371ECFF21}">
  <sheetPr codeName="Hoja11"/>
  <dimension ref="A1:B5"/>
  <sheetViews>
    <sheetView workbookViewId="0">
      <selection activeCell="C15" sqref="C15"/>
    </sheetView>
  </sheetViews>
  <sheetFormatPr baseColWidth="10" defaultRowHeight="15" x14ac:dyDescent="0.25"/>
  <cols>
    <col min="1" max="1" width="15.7109375" customWidth="1"/>
    <col min="2" max="2" width="12.28515625" customWidth="1"/>
  </cols>
  <sheetData>
    <row r="1" spans="1:2" x14ac:dyDescent="0.25">
      <c r="A1" t="s">
        <v>91</v>
      </c>
      <c r="B1" t="s">
        <v>98</v>
      </c>
    </row>
    <row r="2" spans="1:2" x14ac:dyDescent="0.25">
      <c r="A2" t="s">
        <v>99</v>
      </c>
      <c r="B2" t="s">
        <v>100</v>
      </c>
    </row>
    <row r="3" spans="1:2" x14ac:dyDescent="0.25">
      <c r="A3" t="s">
        <v>94</v>
      </c>
      <c r="B3" t="s">
        <v>101</v>
      </c>
    </row>
    <row r="4" spans="1:2" x14ac:dyDescent="0.25">
      <c r="A4" t="s">
        <v>95</v>
      </c>
      <c r="B4" t="s">
        <v>101</v>
      </c>
    </row>
    <row r="5" spans="1:2" x14ac:dyDescent="0.25">
      <c r="A5" t="s">
        <v>93</v>
      </c>
      <c r="B5" t="s">
        <v>101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FactCompras</vt:lpstr>
      <vt:lpstr>FactVentas</vt:lpstr>
      <vt:lpstr>FactComprasPers</vt:lpstr>
      <vt:lpstr>Resumen_Mensual</vt:lpstr>
      <vt:lpstr>Resumen_Socio</vt:lpstr>
      <vt:lpstr>Resumen_ARCA</vt:lpstr>
      <vt:lpstr>Totales_ARCA</vt:lpstr>
      <vt:lpstr>Ctas_x_Cobrar</vt:lpstr>
      <vt:lpstr>CXC_Aging</vt:lpstr>
      <vt:lpstr>Ctas_x_Pagar</vt:lpstr>
      <vt:lpstr>CXP_Aging</vt:lpstr>
      <vt:lpstr>Parametros</vt:lpstr>
      <vt:lpstr>Socios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Guillermo Nievas</cp:lastModifiedBy>
  <dcterms:created xsi:type="dcterms:W3CDTF">2025-08-12T16:07:27Z</dcterms:created>
  <dcterms:modified xsi:type="dcterms:W3CDTF">2025-08-23T22:01:10Z</dcterms:modified>
</cp:coreProperties>
</file>